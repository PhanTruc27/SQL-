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0668" windowHeight="9000"/>
  </bookViews>
  <sheets>
    <sheet name="CRM ANALYSIS" sheetId="7" r:id="rId1"/>
    <sheet name="Sales by scheme" sheetId="13" state="hidden" r:id="rId2"/>
    <sheet name="sales by month" sheetId="15" state="hidden" r:id="rId3"/>
    <sheet name="Raw data" sheetId="1" r:id="rId4"/>
    <sheet name="pivot" sheetId="9" r:id="rId5"/>
    <sheet name="Data pivot" sheetId="10" state="hidden" r:id="rId6"/>
  </sheets>
  <definedNames>
    <definedName name="_xlnm._FilterDatabase" localSheetId="3" hidden="1">'Raw data'!$J$1:$N$496</definedName>
    <definedName name="_xlnm._FilterDatabase" localSheetId="5" hidden="1">'Data pivot'!$A$1:$O$387</definedName>
    <definedName name="Slicer_Scheme_Name">#N/A</definedName>
    <definedName name="Slicer_Tháng">#N/A</definedName>
  </definedNames>
  <calcPr calcId="191029"/>
  <pivotCaches>
    <pivotCache cacheId="0" r:id="rId7"/>
    <pivotCache cacheId="1" r:id="rId8"/>
  </pivotCaches>
  <extLst>
    <ext xmlns:x14="http://schemas.microsoft.com/office/spreadsheetml/2009/9/main" uri="{BBE1A952-AA13-448e-AADC-164F8A28A991}">
      <x14:slicerCaches>
        <x14:slicerCache r:id="rId10"/>
        <x14:slicerCache r:id="rId9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<sst xmlns="http://schemas.openxmlformats.org/spreadsheetml/2006/main" count="5954" uniqueCount="1137">
  <si>
    <t>Segmentation</t>
  </si>
  <si>
    <t>Total no. of clients</t>
  </si>
  <si>
    <t>Total Sales</t>
  </si>
  <si>
    <t>Total No. of Transactions</t>
  </si>
  <si>
    <t>Total Items Sold</t>
  </si>
  <si>
    <t xml:space="preserve">Transactions with &gt;2 items </t>
  </si>
  <si>
    <t>ATV (Average transaction value)</t>
  </si>
  <si>
    <t>UPT (Unit per transaction)</t>
  </si>
  <si>
    <t>Create Chart for presentation</t>
  </si>
  <si>
    <t>1 receipt/ transaction có từ 2 items trở lên</t>
  </si>
  <si>
    <t>= Total Sales / Total No. of Transactions
(C/D)</t>
  </si>
  <si>
    <t>=Total items/ transaction (E/D)</t>
  </si>
  <si>
    <t xml:space="preserve">Total </t>
  </si>
  <si>
    <t>PLATINUM</t>
  </si>
  <si>
    <t>(&gt;$50K)</t>
  </si>
  <si>
    <t>GOLD</t>
  </si>
  <si>
    <t>($25K - &lt;$50K)</t>
  </si>
  <si>
    <t>SILVER</t>
  </si>
  <si>
    <t>($10K – &lt;$25K)</t>
  </si>
  <si>
    <t>CLIENTELING or CT</t>
  </si>
  <si>
    <t>($3K - &lt;$10K)</t>
  </si>
  <si>
    <t>OTHERS</t>
  </si>
  <si>
    <t>(Spend threshold &lt; $3K)</t>
  </si>
  <si>
    <t>Questions:</t>
  </si>
  <si>
    <t>Top 10 Member Account Code:</t>
  </si>
  <si>
    <t>1. By Sales Quantity</t>
  </si>
  <si>
    <t>sheet pivot</t>
  </si>
  <si>
    <t>2. By Sales Amount</t>
  </si>
  <si>
    <t>Analyze by Scheme Name</t>
  </si>
  <si>
    <t>Top 10 Items sold</t>
  </si>
  <si>
    <t>Note:</t>
  </si>
  <si>
    <t>1. Không được dời vị trí các cột</t>
  </si>
  <si>
    <t>2. Các trường thông tin khai thác được càng nhiều càng tốt</t>
  </si>
  <si>
    <t>3. Nếu sử dụng công thức thì để nguyên công thức/ Nếu sử dụng pivot thì để nguyên pivot</t>
  </si>
  <si>
    <t>4. Đưa ra insights từ các metrics khai thác được</t>
  </si>
  <si>
    <t>Dựa vào:</t>
  </si>
  <si>
    <t>TOP 10 Qty by member account code --&gt; KH 05002597 có số lượng mua nhiều nhất</t>
  </si>
  <si>
    <t>TOP 10 Qty by item sold --&gt; item 18R T SMILE SM PDT16 18-35189432 là sp có số lượng bán chạy nhất (Trend or Giá cả tốt or chương trình km)</t>
  </si>
  <si>
    <t>TOP 10 Amt by item sold --&gt; PT RD DI 2 65 D VVS1-70168111 là sp mang lại doanh thu cao nhất</t>
  </si>
  <si>
    <t>TOP 10 Amt by member account code --&gt; 23000715 là KH mang lại doanh thu cao nhất</t>
  </si>
  <si>
    <t>Biểu đồ Sales Amount by Scheme name --&gt; PLATINUM có Sales Amt lớn nhất</t>
  </si>
  <si>
    <t>Biểu đồ Sales Amount by Month --&gt; Tháng 12 có Sales Amt cao nhất ( Tháng cuối năm), 3 tháng cuối năm có sales amount vượt trôi so với các tháng còn lại --&gt; focus vào những tháng đó</t>
  </si>
  <si>
    <t>Nhãn Hàng</t>
  </si>
  <si>
    <t>Sum of Sales Amt</t>
  </si>
  <si>
    <t>MEMBER</t>
  </si>
  <si>
    <t>Tổng Cuối</t>
  </si>
  <si>
    <t>Tháng 6</t>
  </si>
  <si>
    <t>Date</t>
  </si>
  <si>
    <t>Scheme Name</t>
  </si>
  <si>
    <t>Store Name</t>
  </si>
  <si>
    <t>Item Name</t>
  </si>
  <si>
    <t>Member Account Code</t>
  </si>
  <si>
    <t>Invoice</t>
  </si>
  <si>
    <t>Sales Qty</t>
  </si>
  <si>
    <t>Sales Amt</t>
  </si>
  <si>
    <t>Tháng</t>
  </si>
  <si>
    <t>Sales amt $</t>
  </si>
  <si>
    <t>Total client</t>
  </si>
  <si>
    <t>tỷ giá đô</t>
  </si>
  <si>
    <t>TIFFANY - TTP</t>
  </si>
  <si>
    <t>SS RED RTTMN2HRTPDT1618IN-63520594</t>
  </si>
  <si>
    <t>60080458</t>
  </si>
  <si>
    <t>000000P105000000002</t>
  </si>
  <si>
    <t>18R DI XMN HRT PDT-61101195</t>
  </si>
  <si>
    <t>60082960</t>
  </si>
  <si>
    <t>000000P105000000003</t>
  </si>
  <si>
    <t>SS MN RTT HRT4MM BD BLTSM-27631886</t>
  </si>
  <si>
    <t>18R DI LVGHRT WIRE BLT SM-60963673</t>
  </si>
  <si>
    <t>27001049</t>
  </si>
  <si>
    <t>000000P105000000004</t>
  </si>
  <si>
    <t>18R T TRUE NRW RG 5 5-63065226</t>
  </si>
  <si>
    <t>60083471</t>
  </si>
  <si>
    <t>000000P105000000005</t>
  </si>
  <si>
    <t>18R T TRUE NRW RG 7-63065285</t>
  </si>
  <si>
    <t>18W DI T WIRE BLT MD-33263473</t>
  </si>
  <si>
    <t>60073222</t>
  </si>
  <si>
    <t>000000P105000000006</t>
  </si>
  <si>
    <t>SS BL MNRTTHRT 4MMBDBLTMD-26659604</t>
  </si>
  <si>
    <t>60084724</t>
  </si>
  <si>
    <t>000000P105000000008</t>
  </si>
  <si>
    <t>SS PK MNRTTHRT4MMBDBLTMD-30978811</t>
  </si>
  <si>
    <t>SS PK MNRT HRT 4MMBDBLTSM-30978838</t>
  </si>
  <si>
    <t>MA002707</t>
  </si>
  <si>
    <t>000000P105000000010</t>
  </si>
  <si>
    <t>SS RD RTTMNHRT 4MMBDBLTMD-61941797</t>
  </si>
  <si>
    <t>60084728</t>
  </si>
  <si>
    <t>000000P105000000011</t>
  </si>
  <si>
    <t>000000P105000000012</t>
  </si>
  <si>
    <t>000000P105000000014</t>
  </si>
  <si>
    <t>60084727</t>
  </si>
  <si>
    <t>000000P105000000016</t>
  </si>
  <si>
    <t>18R DI T WIRE RG 6 5-35007857</t>
  </si>
  <si>
    <t>27001451</t>
  </si>
  <si>
    <t>000000P105000000017</t>
  </si>
  <si>
    <t>18RDI SMRD PRCD ATL PDT16-30480554</t>
  </si>
  <si>
    <t>18W DI TURQ T WIRE RG 5-64028103</t>
  </si>
  <si>
    <t>000000P105000000018</t>
  </si>
  <si>
    <t>000000P105000000019</t>
  </si>
  <si>
    <t>000000P105000000020</t>
  </si>
  <si>
    <t>18R T TWO CHN DBL BLT SM-62355417</t>
  </si>
  <si>
    <t>60080904</t>
  </si>
  <si>
    <t>000000P105000000021</t>
  </si>
  <si>
    <t>18R LG DI DAISY KEY-26887623</t>
  </si>
  <si>
    <t>60074161</t>
  </si>
  <si>
    <t>000000P105000000022</t>
  </si>
  <si>
    <t>18R PENDANT CHAIN 16IN-25508327</t>
  </si>
  <si>
    <t>CLRBLK PIGGYBANK ERTHNWRE-60559961</t>
  </si>
  <si>
    <t>60084725</t>
  </si>
  <si>
    <t>000000P105000000023</t>
  </si>
  <si>
    <t>SS MD PDT CHAIN 18IN-33484038</t>
  </si>
  <si>
    <t>60084726</t>
  </si>
  <si>
    <t>000000P105000000024</t>
  </si>
  <si>
    <t>18WDI T SMILE MN PDT1618-62617802</t>
  </si>
  <si>
    <t>60089588</t>
  </si>
  <si>
    <t>000000P105000000025</t>
  </si>
  <si>
    <t>18R HLFDI T1 NRWRG6 5-67795377</t>
  </si>
  <si>
    <t>60073961</t>
  </si>
  <si>
    <t>000000P105000000026</t>
  </si>
  <si>
    <t>18R DI TCO 3MM RG 6-27897908</t>
  </si>
  <si>
    <t>60084729</t>
  </si>
  <si>
    <t>000000P105000000027</t>
  </si>
  <si>
    <t>18R TCO 3MM RG 7-33026617</t>
  </si>
  <si>
    <t>SS BL MN RTT 2HRT PDT 18-30210417</t>
  </si>
  <si>
    <t>23000843</t>
  </si>
  <si>
    <t>000000P105000000029</t>
  </si>
  <si>
    <t>18R DI SM HEART KEY-62859954</t>
  </si>
  <si>
    <t>05002597</t>
  </si>
  <si>
    <t>000000P105000000030</t>
  </si>
  <si>
    <t>SS HW MD 19MM WRAP NL36IN-62611928</t>
  </si>
  <si>
    <t>TTN BLK 1837 NRW RG 7 5-25923677</t>
  </si>
  <si>
    <t>TTN BLK 1837 NRW RG 7-25923669</t>
  </si>
  <si>
    <t>SS 1837 NRW BASC RG 5 5-22993763</t>
  </si>
  <si>
    <t>99000488</t>
  </si>
  <si>
    <t>000000P105000000031</t>
  </si>
  <si>
    <t>SS 1837 NRRW CUFF MD-22992422</t>
  </si>
  <si>
    <t>60084730</t>
  </si>
  <si>
    <t>000000P105000000032</t>
  </si>
  <si>
    <t>SS 1837 INTLK SM PDT 16IN-22992139</t>
  </si>
  <si>
    <t>60084731</t>
  </si>
  <si>
    <t>000000P105000000033</t>
  </si>
  <si>
    <t>SS HPKMNRTTHRT4MMBDBLTXS-63686115</t>
  </si>
  <si>
    <t>60084732</t>
  </si>
  <si>
    <t>000000P105000000034</t>
  </si>
  <si>
    <t>18RSSRTTLADYBUGPDTADJ1618-67070526</t>
  </si>
  <si>
    <t>60084734</t>
  </si>
  <si>
    <t>000000P105000000037</t>
  </si>
  <si>
    <t>18R T SMILE PDT LG 1618IN-33637152</t>
  </si>
  <si>
    <t>60084737</t>
  </si>
  <si>
    <t>000000P105000000038</t>
  </si>
  <si>
    <t>18R DI MOP T WIRE RG 6-64027921</t>
  </si>
  <si>
    <t>60084738</t>
  </si>
  <si>
    <t>000000P105000000039</t>
  </si>
  <si>
    <t>18R T SMILE SM BLT MD-36667281</t>
  </si>
  <si>
    <t>60084736</t>
  </si>
  <si>
    <t>000000P105000000040</t>
  </si>
  <si>
    <t>18R MOP T TWO CL ER-66886042</t>
  </si>
  <si>
    <t>22000031</t>
  </si>
  <si>
    <t>000000P105000000041</t>
  </si>
  <si>
    <t>18R T1 NRW HNG BGL MD-67794346</t>
  </si>
  <si>
    <t>SS PINK MN RTT 2HRT PDT16-28751249</t>
  </si>
  <si>
    <t>60084740</t>
  </si>
  <si>
    <t>000000P105000000042</t>
  </si>
  <si>
    <t>18R DI 13 CROWN KEY-25460979</t>
  </si>
  <si>
    <t>20002141</t>
  </si>
  <si>
    <t>000000P105000000043</t>
  </si>
  <si>
    <t>18R PENDANT CHAIN 18IN-25508335</t>
  </si>
  <si>
    <t>18RDI RD MN SGLRW SLST ER-60987491</t>
  </si>
  <si>
    <t>60084741</t>
  </si>
  <si>
    <t>000000P105000000044</t>
  </si>
  <si>
    <t>18R TCO 4MM RG 9-35249907</t>
  </si>
  <si>
    <t>18W DI MD ATLPRCDRG 7-35102272</t>
  </si>
  <si>
    <t>60084742</t>
  </si>
  <si>
    <t>000000P105000000045</t>
  </si>
  <si>
    <t>18W DI MD ATLPRCDRG 8-35102256</t>
  </si>
  <si>
    <t>SS RTT HRT TAG BLT 7 5IN-18967529</t>
  </si>
  <si>
    <t>60084743</t>
  </si>
  <si>
    <t>000000P105000000046</t>
  </si>
  <si>
    <t>18Y GRAFFITI X MN ER-60962316</t>
  </si>
  <si>
    <t>09000030</t>
  </si>
  <si>
    <t>000000P105000000047</t>
  </si>
  <si>
    <t>18R T SMILE ER-36667249</t>
  </si>
  <si>
    <t>22000398</t>
  </si>
  <si>
    <t>000000P105000000048</t>
  </si>
  <si>
    <t>18R SM 1837INTLK PDT16IN-35672087</t>
  </si>
  <si>
    <t>000000P105000000049</t>
  </si>
  <si>
    <t>MD SQ JWLRY CASE LEA TFBL-60883300</t>
  </si>
  <si>
    <t>60084744</t>
  </si>
  <si>
    <t>000000P105000000050</t>
  </si>
  <si>
    <t>18R SM LVG HEART PDT16IN-34614598</t>
  </si>
  <si>
    <t>60084747</t>
  </si>
  <si>
    <t>000000P105000000051</t>
  </si>
  <si>
    <t>18Y SM LVG HEART PDT16IN-34595828</t>
  </si>
  <si>
    <t>000000P105000000052</t>
  </si>
  <si>
    <t>60084746</t>
  </si>
  <si>
    <t>000000P105000000053</t>
  </si>
  <si>
    <t>18R HW BALL 10MM HOOK ER-38172816</t>
  </si>
  <si>
    <t>24001530</t>
  </si>
  <si>
    <t>000000P105000000054</t>
  </si>
  <si>
    <t>18R HWBALL12 75MMPDT18 20-38096818</t>
  </si>
  <si>
    <t>18RDIACNT MDFLEURDELISKEY-60764379</t>
  </si>
  <si>
    <t>TEMP</t>
  </si>
  <si>
    <t>SS 1837 INTLK SM PDT 18IN-30319575</t>
  </si>
  <si>
    <t>PV000303</t>
  </si>
  <si>
    <t>000000P105000000055</t>
  </si>
  <si>
    <t>18R DI T SMILE LG PDT1618-63104981</t>
  </si>
  <si>
    <t>60067686</t>
  </si>
  <si>
    <t>000000P105000000056</t>
  </si>
  <si>
    <t>18R T WIRE BAR ER-62271884</t>
  </si>
  <si>
    <t>18R MN LVG HEART PDT16IN-34614555</t>
  </si>
  <si>
    <t>60084745</t>
  </si>
  <si>
    <t>000000P105000000057</t>
  </si>
  <si>
    <t>18R HW MEDIUM LINK BLT SM-39991586</t>
  </si>
  <si>
    <t>39000072</t>
  </si>
  <si>
    <t>000000P105000000058</t>
  </si>
  <si>
    <t>ST BLK T SQR BLT LG-36618159</t>
  </si>
  <si>
    <t>BOD</t>
  </si>
  <si>
    <t>18R T SMILE SM BLT SM-36819553</t>
  </si>
  <si>
    <t>99001191</t>
  </si>
  <si>
    <t>000000P105000000059</t>
  </si>
  <si>
    <t>18R T SMILE XLPDT1618-67513436</t>
  </si>
  <si>
    <t>PT CU DI 1 12 G VVS1-68800889</t>
  </si>
  <si>
    <t>60084749</t>
  </si>
  <si>
    <t>000000P105000000060</t>
  </si>
  <si>
    <t>13000241</t>
  </si>
  <si>
    <t>000000P105000000061</t>
  </si>
  <si>
    <t>18RDI MD ORNFLEURDLISKEY-60660069</t>
  </si>
  <si>
    <t>18R HLFDI T1 NRWRG6-67795350</t>
  </si>
  <si>
    <t>09001886</t>
  </si>
  <si>
    <t>000000P105000000062</t>
  </si>
  <si>
    <t>18RHLFDIT1NRWHNGBGLMD-68315786</t>
  </si>
  <si>
    <t>000000P105000000063</t>
  </si>
  <si>
    <t>18RDI MOP TTWOSMCLPDT1618-67467582</t>
  </si>
  <si>
    <t>000000P105000000064</t>
  </si>
  <si>
    <t>PT DI XMN HRT ER-61101268</t>
  </si>
  <si>
    <t>13000482</t>
  </si>
  <si>
    <t>000000P105000000066</t>
  </si>
  <si>
    <t>PT18Y CUDI 69FI-63729191</t>
  </si>
  <si>
    <t>05000604</t>
  </si>
  <si>
    <t>000000P105000000067</t>
  </si>
  <si>
    <t>18R MN HEART KEY-24464733</t>
  </si>
  <si>
    <t>60084750</t>
  </si>
  <si>
    <t>000000P105000000068</t>
  </si>
  <si>
    <t>SS OLVLF NRW CUFF MD-31862949</t>
  </si>
  <si>
    <t>18W T SMILE SM PDT16 18-35189424</t>
  </si>
  <si>
    <t>60081983</t>
  </si>
  <si>
    <t>000000P105000000069</t>
  </si>
  <si>
    <t>18R ONYX T WIRE BLT SM-64028669</t>
  </si>
  <si>
    <t>60079623</t>
  </si>
  <si>
    <t>000000P105000000070</t>
  </si>
  <si>
    <t>18R ONYX T WIRE RG 4 5-64027425</t>
  </si>
  <si>
    <t>18RDIONYX T TWO CLPDT1618-64026992</t>
  </si>
  <si>
    <t>SS EXEC TCLIP TB BRS BPEN-37361399</t>
  </si>
  <si>
    <t>60084752</t>
  </si>
  <si>
    <t>000000P105000000071</t>
  </si>
  <si>
    <t>TFTRAVEL LTH PSPT CVR BLK-62205245</t>
  </si>
  <si>
    <t>60084753</t>
  </si>
  <si>
    <t>000000P105000000072</t>
  </si>
  <si>
    <t>TFTRAVL LTH PSPT CVR TFBL-62271531</t>
  </si>
  <si>
    <t>60084754</t>
  </si>
  <si>
    <t>000000P105000000073</t>
  </si>
  <si>
    <t>18R DI BG T SQR PDT 16 18-62996021</t>
  </si>
  <si>
    <t>20000751</t>
  </si>
  <si>
    <t>000000P105000000074</t>
  </si>
  <si>
    <t>NEW</t>
  </si>
  <si>
    <t>18Y DI OPEN RD MN KEY-62230126</t>
  </si>
  <si>
    <t>60084755</t>
  </si>
  <si>
    <t>000000P105000000075</t>
  </si>
  <si>
    <t>18Y PENDANT CHAIN 16IN-21921394</t>
  </si>
  <si>
    <t>18R DI MOP T WIRE BLT SM-64028596</t>
  </si>
  <si>
    <t>60081814</t>
  </si>
  <si>
    <t>000000P105000000076</t>
  </si>
  <si>
    <t>18W DI SM ATL PRCD KEY-35252975</t>
  </si>
  <si>
    <t>60084756</t>
  </si>
  <si>
    <t>000000P105000000077</t>
  </si>
  <si>
    <t>PT 16IN CHAIN-21803642</t>
  </si>
  <si>
    <t>SS18RRTTLADYBUGCHNBLTXSSM-67071492</t>
  </si>
  <si>
    <t>09001516</t>
  </si>
  <si>
    <t>000000P105000000078</t>
  </si>
  <si>
    <t>SS BL MNRTT 2HRT PDT 16IN-27125107</t>
  </si>
  <si>
    <t>60084757</t>
  </si>
  <si>
    <t>000000P105000000079</t>
  </si>
  <si>
    <t>18Y DI SM ATL PRCD KEY-35252991</t>
  </si>
  <si>
    <t>60084758</t>
  </si>
  <si>
    <t>000000P105000000080</t>
  </si>
  <si>
    <t>18R OLVLF EAR CLIMBER ER-60702586</t>
  </si>
  <si>
    <t>99000328</t>
  </si>
  <si>
    <t>000000P105000000081</t>
  </si>
  <si>
    <t>SS RTT LV HRT KEY BLT SM-36812591</t>
  </si>
  <si>
    <t>000000P105000000082</t>
  </si>
  <si>
    <t>SS BL MNRTTHRT 4MMBDBLTSM-27630146</t>
  </si>
  <si>
    <t>60084759</t>
  </si>
  <si>
    <t>000000P105000000083</t>
  </si>
  <si>
    <t>60084760</t>
  </si>
  <si>
    <t>000000P105000000084</t>
  </si>
  <si>
    <t>18W TURQ T WIRE BLT MD-64028952</t>
  </si>
  <si>
    <t>60084761</t>
  </si>
  <si>
    <t>000000P105000000085</t>
  </si>
  <si>
    <t>60084762</t>
  </si>
  <si>
    <t>000000P105000000086</t>
  </si>
  <si>
    <t>60084763</t>
  </si>
  <si>
    <t>000000P105000000087</t>
  </si>
  <si>
    <t>PT DI 61TW TIF SLST ER-28646453</t>
  </si>
  <si>
    <t>60081037</t>
  </si>
  <si>
    <t>000000P105000000089</t>
  </si>
  <si>
    <t>60084764</t>
  </si>
  <si>
    <t>000000P105000000090</t>
  </si>
  <si>
    <t>60084765</t>
  </si>
  <si>
    <t>000000P105000000091</t>
  </si>
  <si>
    <t>60084766</t>
  </si>
  <si>
    <t>000000P105000000092</t>
  </si>
  <si>
    <t>18R MD T WIRE BANGLE LG-33419767</t>
  </si>
  <si>
    <t>60084767</t>
  </si>
  <si>
    <t>000000P105000000093</t>
  </si>
  <si>
    <t>22000014</t>
  </si>
  <si>
    <t>000000P105000000094</t>
  </si>
  <si>
    <t>60084768</t>
  </si>
  <si>
    <t>000000P105000000095</t>
  </si>
  <si>
    <t>PT DI MDRBORNFLEURDLISKEY-60660026</t>
  </si>
  <si>
    <t>18R DI MN VICTORIA KEY-62867019</t>
  </si>
  <si>
    <t>60084769</t>
  </si>
  <si>
    <t>000000P105000000096</t>
  </si>
  <si>
    <t>PTDI TIFESN DBMG 4MM 6-27897711</t>
  </si>
  <si>
    <t>60065619</t>
  </si>
  <si>
    <t>000000P105000000097</t>
  </si>
  <si>
    <t>PTDI TIFESN DBMG 4MM 7 5-27897754</t>
  </si>
  <si>
    <t>SS MINI RTT HEART STUD ER-23900564</t>
  </si>
  <si>
    <t>20000178</t>
  </si>
  <si>
    <t>000000P105000000098</t>
  </si>
  <si>
    <t>18R T WIRE BLT MD-33263465</t>
  </si>
  <si>
    <t>59000063</t>
  </si>
  <si>
    <t>000000P105000000099</t>
  </si>
  <si>
    <t>SS SM RTT HRTTG BD BLT XS-67127625</t>
  </si>
  <si>
    <t>60084770</t>
  </si>
  <si>
    <t>000000P105000000100</t>
  </si>
  <si>
    <t>60084771</t>
  </si>
  <si>
    <t>000000P105000000101</t>
  </si>
  <si>
    <t>18W T TWO DI NRW RG 5-36815884</t>
  </si>
  <si>
    <t>60084772</t>
  </si>
  <si>
    <t>000000P105000000102</t>
  </si>
  <si>
    <t>18W T TWO NRW RG 7 5-36815264</t>
  </si>
  <si>
    <t>SS BLMNRTTHRT4MMBD BLT XS-63686085</t>
  </si>
  <si>
    <t>60085056</t>
  </si>
  <si>
    <t>000000P105000000103</t>
  </si>
  <si>
    <t>60085057</t>
  </si>
  <si>
    <t>000000P105000000104</t>
  </si>
  <si>
    <t>18W DI T SMILE SM BLT MD-36667192</t>
  </si>
  <si>
    <t>05001498</t>
  </si>
  <si>
    <t>000000P105000000105</t>
  </si>
  <si>
    <t>000000P105000000106</t>
  </si>
  <si>
    <t>SS MN 1837 INTLK BLT ADJ-35505903</t>
  </si>
  <si>
    <t>60076597</t>
  </si>
  <si>
    <t>000000P105000000107</t>
  </si>
  <si>
    <t>18R DI T WIRE FC RING 6 5-34901538</t>
  </si>
  <si>
    <t>60085058</t>
  </si>
  <si>
    <t>000000P105000000108</t>
  </si>
  <si>
    <t>PT VICT SM DI ER-11833187</t>
  </si>
  <si>
    <t>18R DI .03TW T SMILE MN PDT-63843385</t>
  </si>
  <si>
    <t>60085059</t>
  </si>
  <si>
    <t>000000P105000000109</t>
  </si>
  <si>
    <t>18Y DI 13 CROWN KEY-25524942</t>
  </si>
  <si>
    <t>000000P105000000110</t>
  </si>
  <si>
    <t>60085060</t>
  </si>
  <si>
    <t>000000P105000000111</t>
  </si>
  <si>
    <t>SS RTT MN HRT DGLRG 4 5-35243593</t>
  </si>
  <si>
    <t>60085061</t>
  </si>
  <si>
    <t>000000P105000000112</t>
  </si>
  <si>
    <t>SS RTT MINI 2 HRT PDT16IN-22309307</t>
  </si>
  <si>
    <t>60085062</t>
  </si>
  <si>
    <t>000000P105000000113</t>
  </si>
  <si>
    <t>18W T TWO DI NRW RG 4 5-36815906</t>
  </si>
  <si>
    <t>60085063</t>
  </si>
  <si>
    <t>000000P105000000114</t>
  </si>
  <si>
    <t>18W T TWO DI NRW RG 7 5-36815876</t>
  </si>
  <si>
    <t>18R OLVLF NRW BD RG 6-32080553</t>
  </si>
  <si>
    <t>60085064</t>
  </si>
  <si>
    <t>000000P105000000115</t>
  </si>
  <si>
    <t>SS MN RTTL BLHRTBD BLT SM-61002421</t>
  </si>
  <si>
    <t>60085065</t>
  </si>
  <si>
    <t>000000P105000000116</t>
  </si>
  <si>
    <t>60085066</t>
  </si>
  <si>
    <t>000000P105000000117</t>
  </si>
  <si>
    <t>60085067</t>
  </si>
  <si>
    <t>000000P105000000118</t>
  </si>
  <si>
    <t>18R GRAFFITI X MN ER-60962332</t>
  </si>
  <si>
    <t>000000P105000000119</t>
  </si>
  <si>
    <t>PT RDDI 40TW F VVS2 VVS2-69142087</t>
  </si>
  <si>
    <t>ST BLK T SQR BLT MD-36537973</t>
  </si>
  <si>
    <t>000000P105000000120</t>
  </si>
  <si>
    <t>000000P105000000121</t>
  </si>
  <si>
    <t>CLRBLK LUGGAGE TAG-60927626</t>
  </si>
  <si>
    <t>60085068</t>
  </si>
  <si>
    <t>000000P105000000122</t>
  </si>
  <si>
    <t>PT DI LG VIC PDT-14743715</t>
  </si>
  <si>
    <t>08001224</t>
  </si>
  <si>
    <t>000000P105000000123</t>
  </si>
  <si>
    <t>PT VICT MD DI ER-25169328</t>
  </si>
  <si>
    <t>18R NRW T WIRE RG 5 5-33418868</t>
  </si>
  <si>
    <t>60080377</t>
  </si>
  <si>
    <t>000000P105000000124</t>
  </si>
  <si>
    <t>60085069</t>
  </si>
  <si>
    <t>000000P105000000125</t>
  </si>
  <si>
    <t>PV000171</t>
  </si>
  <si>
    <t>000000P105000000126</t>
  </si>
  <si>
    <t>18R T SMILE SM PDT16 18-35189432</t>
  </si>
  <si>
    <t>60085071</t>
  </si>
  <si>
    <t>000000P105000000130</t>
  </si>
  <si>
    <t>PT18Y CUDI 42FY DB RG-34686769</t>
  </si>
  <si>
    <t>60067418</t>
  </si>
  <si>
    <t>000000P105000000132</t>
  </si>
  <si>
    <t>18Y DI T SMILE SM PDT-63058785</t>
  </si>
  <si>
    <t>60085072</t>
  </si>
  <si>
    <t>000000P105000000133</t>
  </si>
  <si>
    <t>18Y T SMILE PDT LG 1618IN-33637179</t>
  </si>
  <si>
    <t>CLRBLK ZIP MULTFN WLT LEA-60939764</t>
  </si>
  <si>
    <t>60079850</t>
  </si>
  <si>
    <t>000000P105000000134</t>
  </si>
  <si>
    <t>SS EXEC TCLIP BLK BRS BP-37361348</t>
  </si>
  <si>
    <t>SS MDRTT HRT TGKEY PDT16-26909686</t>
  </si>
  <si>
    <t>60085073</t>
  </si>
  <si>
    <t>000000P105000000135</t>
  </si>
  <si>
    <t>27000390</t>
  </si>
  <si>
    <t>000000P105000000136</t>
  </si>
  <si>
    <t>18R T TWO DI NRW RG 4 5-36821469</t>
  </si>
  <si>
    <t>60085074</t>
  </si>
  <si>
    <t>000000P105000000137</t>
  </si>
  <si>
    <t>18R T TWO NRW RG 9-36820632</t>
  </si>
  <si>
    <t>SS 1837 NRW BASC RG 6-22993771</t>
  </si>
  <si>
    <t>60085075</t>
  </si>
  <si>
    <t>000000P105000000138</t>
  </si>
  <si>
    <t>PT RD DI 1 31 F VS1-69029906</t>
  </si>
  <si>
    <t>60064032</t>
  </si>
  <si>
    <t>000000P105000000139</t>
  </si>
  <si>
    <t>18R DI T WIRE RG 5 5-35007903</t>
  </si>
  <si>
    <t>60085076</t>
  </si>
  <si>
    <t>000000P105000000140</t>
  </si>
  <si>
    <t>60085077</t>
  </si>
  <si>
    <t>000000P105000000141</t>
  </si>
  <si>
    <t>18RDI TCO 4MM RG 8 5-33133111</t>
  </si>
  <si>
    <t>20001130</t>
  </si>
  <si>
    <t>000000P105000000142</t>
  </si>
  <si>
    <t>BEAR &amp; BLOCK 3PC CHINASET-60559880</t>
  </si>
  <si>
    <t>PT DI TCO 4MM RG 9 5-33130775</t>
  </si>
  <si>
    <t>18R GRAFFITI X SM ER-61912606</t>
  </si>
  <si>
    <t>60079969</t>
  </si>
  <si>
    <t>000000P105000000143</t>
  </si>
  <si>
    <t>18Y TURQ T WIRE BLT SM-64028855</t>
  </si>
  <si>
    <t>000000P105000000144</t>
  </si>
  <si>
    <t>18Y TURQ T WIRE RG 4 5-64027654</t>
  </si>
  <si>
    <t>18Y HW MEDIUM LINK NL18IN-38086758</t>
  </si>
  <si>
    <t>60083449</t>
  </si>
  <si>
    <t>000000P105000000145</t>
  </si>
  <si>
    <t>PT DI TIF EMB 3 HC RG6 5-16026301</t>
  </si>
  <si>
    <t>24002905</t>
  </si>
  <si>
    <t>000000P105000000146</t>
  </si>
  <si>
    <t>60085078</t>
  </si>
  <si>
    <t>000000P105000000147</t>
  </si>
  <si>
    <t>PT DI MINI TF CIRCLET ER-23954141</t>
  </si>
  <si>
    <t>60085079</t>
  </si>
  <si>
    <t>000000P105000000148</t>
  </si>
  <si>
    <t>SS MAKERS CUFF SM-63449121</t>
  </si>
  <si>
    <t>000000P105000000149</t>
  </si>
  <si>
    <t>60085080</t>
  </si>
  <si>
    <t>000000P105000000151</t>
  </si>
  <si>
    <t>18W DI T SMILE ER-36667168</t>
  </si>
  <si>
    <t>60085081</t>
  </si>
  <si>
    <t>000000P105000000152</t>
  </si>
  <si>
    <t>25000030</t>
  </si>
  <si>
    <t>000000P105000000153</t>
  </si>
  <si>
    <t>18Y T SMILE SM PDT16 18-35189459</t>
  </si>
  <si>
    <t>60085082</t>
  </si>
  <si>
    <t>000000P105000000155</t>
  </si>
  <si>
    <t>18Y DI MN VICTORIA KEY-62866950</t>
  </si>
  <si>
    <t>60065272</t>
  </si>
  <si>
    <t>000000P105000000156</t>
  </si>
  <si>
    <t>18Y DI T WIRE RG 5 5-35008187</t>
  </si>
  <si>
    <t>18Y PENDANT CHAIN 18IN-21921386</t>
  </si>
  <si>
    <t>60085083</t>
  </si>
  <si>
    <t>000000P105000000157</t>
  </si>
  <si>
    <t>18Y MN LVG HEART PDT16IN-34595771</t>
  </si>
  <si>
    <t>60077793</t>
  </si>
  <si>
    <t>000000P105000000158</t>
  </si>
  <si>
    <t>18R T1 NRW RG6-67797396</t>
  </si>
  <si>
    <t>60085084</t>
  </si>
  <si>
    <t>000000P105000000159</t>
  </si>
  <si>
    <t>SS MN RTTL BLUE HRT ER-60994862</t>
  </si>
  <si>
    <t>60085085</t>
  </si>
  <si>
    <t>000000P105000000160</t>
  </si>
  <si>
    <t>CLR BLK PSSPRT CVR GRNLEA-60927596</t>
  </si>
  <si>
    <t>60073377</t>
  </si>
  <si>
    <t>000000P105000000161</t>
  </si>
  <si>
    <t>18W DI TURQ T WIRE RG 5 5-64028138</t>
  </si>
  <si>
    <t>24003554</t>
  </si>
  <si>
    <t>000000P105000000162</t>
  </si>
  <si>
    <t>60085086</t>
  </si>
  <si>
    <t>000000P105000000163</t>
  </si>
  <si>
    <t>60085087</t>
  </si>
  <si>
    <t>000000P105000000164</t>
  </si>
  <si>
    <t>18R TFHARMONY 3MM RG4 5-33419252</t>
  </si>
  <si>
    <t>60085088</t>
  </si>
  <si>
    <t>000000P105000000165</t>
  </si>
  <si>
    <t>18R TFHARMONY 3MM RG6-33419139</t>
  </si>
  <si>
    <t>60085089</t>
  </si>
  <si>
    <t>000000P105000000166</t>
  </si>
  <si>
    <t>60085090</t>
  </si>
  <si>
    <t>000000P105000000167</t>
  </si>
  <si>
    <t>SS HW GRAD LINK NL 18IN-38086898</t>
  </si>
  <si>
    <t>60063583</t>
  </si>
  <si>
    <t>000000P105000000168</t>
  </si>
  <si>
    <t>SS HW LINK ER-38087959</t>
  </si>
  <si>
    <t>SS HW MD 19MM WRAP BRACELET-61699309</t>
  </si>
  <si>
    <t>60085091</t>
  </si>
  <si>
    <t>000000P105000000169</t>
  </si>
  <si>
    <t>18RHLFDIT1NRWHNGBGLSM-68315751</t>
  </si>
  <si>
    <t>60085092</t>
  </si>
  <si>
    <t>000000P105000000170</t>
  </si>
  <si>
    <t>SS OLVLF EAR CLIMBER ER-60702527</t>
  </si>
  <si>
    <t>60085093</t>
  </si>
  <si>
    <t>000000P105000000171</t>
  </si>
  <si>
    <t>60085105</t>
  </si>
  <si>
    <t>000000P105000000172</t>
  </si>
  <si>
    <t>SS RD RTTMNHRT 4MMBDBLTSM-61941770</t>
  </si>
  <si>
    <t>60085104</t>
  </si>
  <si>
    <t>000000P105000000173</t>
  </si>
  <si>
    <t>SS SM RTT HRT BLT SM-29668086</t>
  </si>
  <si>
    <t>60085103</t>
  </si>
  <si>
    <t>000000P105000000174</t>
  </si>
  <si>
    <t>18RDI TCO 4MM RG 7 5-33133162</t>
  </si>
  <si>
    <t>60081050</t>
  </si>
  <si>
    <t>000000P105000000175</t>
  </si>
  <si>
    <t>18RDI TCO 4MM RG 8-33133014</t>
  </si>
  <si>
    <t>18R T TWO DI PAVE NRW 6 5-36822325</t>
  </si>
  <si>
    <t>24002596</t>
  </si>
  <si>
    <t>000000P105000000176</t>
  </si>
  <si>
    <t>18Y DI T WIRE BLT MD-35065717</t>
  </si>
  <si>
    <t>60085102</t>
  </si>
  <si>
    <t>000000P105000000177</t>
  </si>
  <si>
    <t>18R DI DBL LVG HRT ER-63062529</t>
  </si>
  <si>
    <t>60085101</t>
  </si>
  <si>
    <t>000000P105000000178</t>
  </si>
  <si>
    <t>18R DI TCO 3MM RG 5-27897886</t>
  </si>
  <si>
    <t>60085100</t>
  </si>
  <si>
    <t>000000P105000000180</t>
  </si>
  <si>
    <t>18RDI TCO 4MM RG 6 5-33132999</t>
  </si>
  <si>
    <t>60085099</t>
  </si>
  <si>
    <t>000000P105000000181</t>
  </si>
  <si>
    <t>PT DI RD SGLRW SLST PDT-60572852</t>
  </si>
  <si>
    <t>60085098</t>
  </si>
  <si>
    <t>000000P105000000182</t>
  </si>
  <si>
    <t>SS 1837 NRW CUFF SM-31417767</t>
  </si>
  <si>
    <t>MC0000000022</t>
  </si>
  <si>
    <t>000000P105000000183</t>
  </si>
  <si>
    <t>SS MAKERS CUFF MD-63526894</t>
  </si>
  <si>
    <t>CLRBK FLAPCNT WLT GRNLEA-60883416</t>
  </si>
  <si>
    <t>MA001928</t>
  </si>
  <si>
    <t>000000P105000000184</t>
  </si>
  <si>
    <t>SS MN RTT HRT 4MMBD BLTLG-24711781</t>
  </si>
  <si>
    <t>MC0000000028</t>
  </si>
  <si>
    <t>000000P105000000185</t>
  </si>
  <si>
    <t>PT DI PS TNZ 10X7SLST PDT-29137102</t>
  </si>
  <si>
    <t>60085097</t>
  </si>
  <si>
    <t>000000P105000000186</t>
  </si>
  <si>
    <t>PTDI RD BLSA 5MM SLST ER-31176409</t>
  </si>
  <si>
    <t>60085096</t>
  </si>
  <si>
    <t>000000P105000000187</t>
  </si>
  <si>
    <t>SS RTT HRT KEY PDTADJ1618-36812613</t>
  </si>
  <si>
    <t>60085094</t>
  </si>
  <si>
    <t>000000P105000000188</t>
  </si>
  <si>
    <t>18R HLFDI T1 NRWRG5-67795318</t>
  </si>
  <si>
    <t>60085095</t>
  </si>
  <si>
    <t>000000P105000000189</t>
  </si>
  <si>
    <t>18R T TWO NRW RG 6 5-36820608</t>
  </si>
  <si>
    <t>18R NRW T WIRE RG 6-33418876</t>
  </si>
  <si>
    <t>60066101</t>
  </si>
  <si>
    <t>000000P105000000190</t>
  </si>
  <si>
    <t>18R T TWO MD RG 6 5-36509228</t>
  </si>
  <si>
    <t>18Y MN LVG HEART BLT SM-34614563</t>
  </si>
  <si>
    <t>MC0000000035</t>
  </si>
  <si>
    <t>000000P105000000193</t>
  </si>
  <si>
    <t>CLRBLK MN VIDEPOCHE PORS4-60570108</t>
  </si>
  <si>
    <t>53000048</t>
  </si>
  <si>
    <t>000000P105000000194</t>
  </si>
  <si>
    <t>MC0000000038</t>
  </si>
  <si>
    <t>000000P105000000195</t>
  </si>
  <si>
    <t>SS PKMNRTTHRT 4MMBD BLTXS-63520543</t>
  </si>
  <si>
    <t>MC0000000039</t>
  </si>
  <si>
    <t>000000P105000000196</t>
  </si>
  <si>
    <t>MC0000000040</t>
  </si>
  <si>
    <t>000000P105000000197</t>
  </si>
  <si>
    <t>SSMNRTTHRT4MMBDBLTXS-63686131</t>
  </si>
  <si>
    <t>60078527</t>
  </si>
  <si>
    <t>000000P105000000198</t>
  </si>
  <si>
    <t>MC0000000048</t>
  </si>
  <si>
    <t>000000P105000000199</t>
  </si>
  <si>
    <t>SS HW MEDIUM LINK BLT SM-39991608</t>
  </si>
  <si>
    <t>MC0000000059</t>
  </si>
  <si>
    <t>000000P105000000200</t>
  </si>
  <si>
    <t>18R DI T SMILE SM BLT SM-36819588</t>
  </si>
  <si>
    <t>000000P105000000201</t>
  </si>
  <si>
    <t>18W DI T SMILE SM BLT SM-36819634</t>
  </si>
  <si>
    <t>60090833</t>
  </si>
  <si>
    <t>000000P105000000202</t>
  </si>
  <si>
    <t>18W DI T WIRE BLT SM-33450915</t>
  </si>
  <si>
    <t>03001727</t>
  </si>
  <si>
    <t>000000P105000000204</t>
  </si>
  <si>
    <t>20000526</t>
  </si>
  <si>
    <t>000000P105000000205</t>
  </si>
  <si>
    <t>18R ATLS X CLSD INTRLCKPDT161-67789237</t>
  </si>
  <si>
    <t>13000508</t>
  </si>
  <si>
    <t>000000P105000000206</t>
  </si>
  <si>
    <t>18R DI SM OPN CRCL PDT 16-60573204</t>
  </si>
  <si>
    <t>SS18Y MAKERS WDCHN BLT LG-63448966</t>
  </si>
  <si>
    <t>000000P105000000207</t>
  </si>
  <si>
    <t>MC0000000080</t>
  </si>
  <si>
    <t>000000P105000000208</t>
  </si>
  <si>
    <t>09000224</t>
  </si>
  <si>
    <t>000000P105000000209</t>
  </si>
  <si>
    <t>18R DI T WIRE RG 4 5-35008071</t>
  </si>
  <si>
    <t>60078468</t>
  </si>
  <si>
    <t>000000P105000000210</t>
  </si>
  <si>
    <t>18WDIPV T TRUE NW RG 5-67456866</t>
  </si>
  <si>
    <t>18Y MOP T WIRE BLT SM-63958476</t>
  </si>
  <si>
    <t>000000P105000000211</t>
  </si>
  <si>
    <t>SS HW MEDIUM LINK BLT LG-39991594</t>
  </si>
  <si>
    <t>SS18Y MAKERS CHAIN BLT MD-63526738</t>
  </si>
  <si>
    <t>19000025</t>
  </si>
  <si>
    <t>000000P105000000212</t>
  </si>
  <si>
    <t>SS18Y MAKERS WDCHN BLT MD-66875466</t>
  </si>
  <si>
    <t>MC0000000092</t>
  </si>
  <si>
    <t>000000P105000000213</t>
  </si>
  <si>
    <t>18R HW MEDIUM LINK BLT MD-38086847</t>
  </si>
  <si>
    <t>000000P105000000214</t>
  </si>
  <si>
    <t>SS RTT HEART BLT 7 5IN-21149799</t>
  </si>
  <si>
    <t>MC0000000100</t>
  </si>
  <si>
    <t>000000P105000000215</t>
  </si>
  <si>
    <t>18R DI T SQR WRAP RG 4 5-35606793</t>
  </si>
  <si>
    <t>60062549</t>
  </si>
  <si>
    <t>000000P105000000216</t>
  </si>
  <si>
    <t>18R T1 WD RG7 -67796527</t>
  </si>
  <si>
    <t>27000944</t>
  </si>
  <si>
    <t>000000P105000000217</t>
  </si>
  <si>
    <t>18R DI T WIRE BLT MD-33263538</t>
  </si>
  <si>
    <t>60089865</t>
  </si>
  <si>
    <t>000000P105000000218</t>
  </si>
  <si>
    <t>18R DI T WIRE RG 7-35007873</t>
  </si>
  <si>
    <t>18R T TRUE WD RG 7-63064351</t>
  </si>
  <si>
    <t>MC0000000115</t>
  </si>
  <si>
    <t>000000P105000000219</t>
  </si>
  <si>
    <t>18R ONYX T WIRE RG 6-64027492</t>
  </si>
  <si>
    <t>MC0000000122</t>
  </si>
  <si>
    <t>000000P105000000221</t>
  </si>
  <si>
    <t>MC0000000134</t>
  </si>
  <si>
    <t>000000P105000000224</t>
  </si>
  <si>
    <t>MC0000000138</t>
  </si>
  <si>
    <t>000000P105000000225</t>
  </si>
  <si>
    <t>MC0000000105</t>
  </si>
  <si>
    <t>000000P105000000226</t>
  </si>
  <si>
    <t>18R DI WOVEN KEY MD-35725504</t>
  </si>
  <si>
    <t>24002686</t>
  </si>
  <si>
    <t>000000P105000000227</t>
  </si>
  <si>
    <t>18R DI MOP T WIRE BLT MD-64028626</t>
  </si>
  <si>
    <t>60065296</t>
  </si>
  <si>
    <t>000000P105000000229</t>
  </si>
  <si>
    <t>SS MDRTT HRT TGKEYPDT18IN-30210492</t>
  </si>
  <si>
    <t>MC0000000150</t>
  </si>
  <si>
    <t>000000P105000000230</t>
  </si>
  <si>
    <t>MC0000000154</t>
  </si>
  <si>
    <t>000000P105000000231</t>
  </si>
  <si>
    <t>08001361</t>
  </si>
  <si>
    <t>000000P105000000232</t>
  </si>
  <si>
    <t>18R DI MD ROUND VIC KEY-37688304</t>
  </si>
  <si>
    <t>MA001920</t>
  </si>
  <si>
    <t>000000P105000000233</t>
  </si>
  <si>
    <t>27000538</t>
  </si>
  <si>
    <t>000000P105000000234</t>
  </si>
  <si>
    <t>18WDITURQ TTWOSMCLPDT1618-67467787</t>
  </si>
  <si>
    <t>18R T SQR BLT SMALL-33282354</t>
  </si>
  <si>
    <t>22000426</t>
  </si>
  <si>
    <t>000000P105000000235</t>
  </si>
  <si>
    <t>18RHALFDIT1WDHNGBGLMD-67792858</t>
  </si>
  <si>
    <t>PT DI LG HEART PDT 16IN-13006598</t>
  </si>
  <si>
    <t>MC0000000166</t>
  </si>
  <si>
    <t>000000P105000000236</t>
  </si>
  <si>
    <t>PT DI MINI HRT PDT-23511827</t>
  </si>
  <si>
    <t>000000P105000000237</t>
  </si>
  <si>
    <t>PT RD DI 50 F VS1-69132944</t>
  </si>
  <si>
    <t>MC0000000171</t>
  </si>
  <si>
    <t>000000P105000000238</t>
  </si>
  <si>
    <t>20000519</t>
  </si>
  <si>
    <t>000000P105000000239</t>
  </si>
  <si>
    <t>SSREDRTTMNHRT4MMBDBLTXS-63686174</t>
  </si>
  <si>
    <t>MC0000000175</t>
  </si>
  <si>
    <t>000000P105000000240</t>
  </si>
  <si>
    <t>18R MOP T WIRE BLT SM-63958328</t>
  </si>
  <si>
    <t>60077796</t>
  </si>
  <si>
    <t>000000P105000000241</t>
  </si>
  <si>
    <t>18Y LVG HRT STUD ER MN-34595798</t>
  </si>
  <si>
    <t>MC0000000185</t>
  </si>
  <si>
    <t>000000P105000000242</t>
  </si>
  <si>
    <t>MC0000000186</t>
  </si>
  <si>
    <t>000000P105000000243</t>
  </si>
  <si>
    <t>SS HW MEDIUM LINK BLT MD-38086855</t>
  </si>
  <si>
    <t>18010607</t>
  </si>
  <si>
    <t>000000P105000000244</t>
  </si>
  <si>
    <t>60081914</t>
  </si>
  <si>
    <t>000000P105000000245</t>
  </si>
  <si>
    <t>18R OLVLF NRW BD RG 5-32080588</t>
  </si>
  <si>
    <t>27001314</t>
  </si>
  <si>
    <t>000000P105000000246</t>
  </si>
  <si>
    <t>MC0000000199</t>
  </si>
  <si>
    <t>000000P105000000247</t>
  </si>
  <si>
    <t>18Y HW MD 19MM WRAP BLTMD-37932825</t>
  </si>
  <si>
    <t>000000P105000000248</t>
  </si>
  <si>
    <t>SS HPKMNRTTHRT4MMBDBLTMD-63527564</t>
  </si>
  <si>
    <t>MC0000000209</t>
  </si>
  <si>
    <t>000000P105000000249</t>
  </si>
  <si>
    <t>24003667</t>
  </si>
  <si>
    <t>000000P105000000250</t>
  </si>
  <si>
    <t>18R T1 NRW HNGBGL SM-67794362</t>
  </si>
  <si>
    <t>MC0000000207</t>
  </si>
  <si>
    <t>000000P105000000251</t>
  </si>
  <si>
    <t>PT DI MINI TF CIRCLET PDT-23954133</t>
  </si>
  <si>
    <t>MC0000000212</t>
  </si>
  <si>
    <t>000000P105000000252</t>
  </si>
  <si>
    <t>MC0000000217</t>
  </si>
  <si>
    <t>000000P105000000253</t>
  </si>
  <si>
    <t>MC0000000224</t>
  </si>
  <si>
    <t>000000P105000000254</t>
  </si>
  <si>
    <t>SS RTT HEART BLT SM-37360201</t>
  </si>
  <si>
    <t>60081187</t>
  </si>
  <si>
    <t>000000P105000000255</t>
  </si>
  <si>
    <t>SS RTT MN HRT DGLRG 5 5-35243682</t>
  </si>
  <si>
    <t>18W DI T SMILE SM PDT-63058807</t>
  </si>
  <si>
    <t>MA002648</t>
  </si>
  <si>
    <t>000000P105000000256</t>
  </si>
  <si>
    <t>MC0000000237</t>
  </si>
  <si>
    <t>000000P105000000257</t>
  </si>
  <si>
    <t>MC0000000240</t>
  </si>
  <si>
    <t>000000P105000000258</t>
  </si>
  <si>
    <t>SS MN RTT HRT 4MMBD BLTMD-23984024</t>
  </si>
  <si>
    <t>000000P105000000259</t>
  </si>
  <si>
    <t>18R DI T WIRE RG 5-35008144</t>
  </si>
  <si>
    <t>60084239</t>
  </si>
  <si>
    <t>000000P105000000260</t>
  </si>
  <si>
    <t>SSBLSMRTTDBLHRTTAGPDT1618-37094692</t>
  </si>
  <si>
    <t>05001353</t>
  </si>
  <si>
    <t>000000P105000000261</t>
  </si>
  <si>
    <t>PT RD DI 1 09 F VS1-69031420</t>
  </si>
  <si>
    <t>16000039</t>
  </si>
  <si>
    <t>000000P105000000262</t>
  </si>
  <si>
    <t>PT DI RD MN SGLRW SLST ER-60987459</t>
  </si>
  <si>
    <t>21000564</t>
  </si>
  <si>
    <t>000000P105000000263</t>
  </si>
  <si>
    <t>23000267</t>
  </si>
  <si>
    <t>000000P105000000264</t>
  </si>
  <si>
    <t>MC0000000265</t>
  </si>
  <si>
    <t>000000P105000000269</t>
  </si>
  <si>
    <t>SS MD RTT HRT TAGTGLBLTSM-32080251</t>
  </si>
  <si>
    <t>MC0000000268</t>
  </si>
  <si>
    <t>000000P105000000270</t>
  </si>
  <si>
    <t>18WDIPV T TRUE WD RG 5 5-67459962</t>
  </si>
  <si>
    <t>19000068</t>
  </si>
  <si>
    <t>000000P105000000272</t>
  </si>
  <si>
    <t>PT DI MD VIC PDT-25168224</t>
  </si>
  <si>
    <t>60077685</t>
  </si>
  <si>
    <t>000000P105000000273</t>
  </si>
  <si>
    <t>PT MN VIC DI ER-23954168</t>
  </si>
  <si>
    <t>MC0000000281</t>
  </si>
  <si>
    <t>000000P105000000274</t>
  </si>
  <si>
    <t>60091037</t>
  </si>
  <si>
    <t>000000P105000000275</t>
  </si>
  <si>
    <t>18R DI MN TFCRCLT PDT-61691774</t>
  </si>
  <si>
    <t>09000109</t>
  </si>
  <si>
    <t>000000P105000000276</t>
  </si>
  <si>
    <t>SS BL RTT HRT TAG BLT MD-28751192</t>
  </si>
  <si>
    <t>MC0000000300</t>
  </si>
  <si>
    <t>000000P105000000278</t>
  </si>
  <si>
    <t>MC0000000306</t>
  </si>
  <si>
    <t>000000P105000000279</t>
  </si>
  <si>
    <t>PT RD DI 95 F VS1-69085105</t>
  </si>
  <si>
    <t>60067426</t>
  </si>
  <si>
    <t>000000P105000000280</t>
  </si>
  <si>
    <t>000000P105000000281</t>
  </si>
  <si>
    <t>MC0000000315</t>
  </si>
  <si>
    <t>000000P105000000282</t>
  </si>
  <si>
    <t>18R T TWO MD RG 10-36509171</t>
  </si>
  <si>
    <t>MC0000000319</t>
  </si>
  <si>
    <t>000000P105000000283</t>
  </si>
  <si>
    <t>PT TRU DI 79 F VVS2-68522021</t>
  </si>
  <si>
    <t>60067370</t>
  </si>
  <si>
    <t>000000P105000000284</t>
  </si>
  <si>
    <t>18W DI TURQ T WIRE RG 6 5-64028170</t>
  </si>
  <si>
    <t>24001936</t>
  </si>
  <si>
    <t>000000P105000000285</t>
  </si>
  <si>
    <t>PT DI TCO 3MM RG 5 5-23776316</t>
  </si>
  <si>
    <t>MC0000000343</t>
  </si>
  <si>
    <t>000000P105000000286</t>
  </si>
  <si>
    <t>PT DI TCO 3MM RG 7-23776359</t>
  </si>
  <si>
    <t>18W DI T WIRE RG 6 5-33279302</t>
  </si>
  <si>
    <t>000000P105000000287</t>
  </si>
  <si>
    <t>000000P105000000289</t>
  </si>
  <si>
    <t>24001124</t>
  </si>
  <si>
    <t>000000P105000000290</t>
  </si>
  <si>
    <t>18W DI TURQ T WIRE BLT MD-64029037</t>
  </si>
  <si>
    <t>60079105</t>
  </si>
  <si>
    <t>000000P105000000291</t>
  </si>
  <si>
    <t>18R T TWO MD RG 8-36509368</t>
  </si>
  <si>
    <t>08001406</t>
  </si>
  <si>
    <t>000000P105000000292</t>
  </si>
  <si>
    <t>18R T TWO NRW RG 6-36820551</t>
  </si>
  <si>
    <t>SS 1837 NRRW CUFF LG-22992449</t>
  </si>
  <si>
    <t>MA003074</t>
  </si>
  <si>
    <t>000000P105000000293</t>
  </si>
  <si>
    <t>18R DI DBL LVGHRT MN PDT-63058262</t>
  </si>
  <si>
    <t>MC0000000365</t>
  </si>
  <si>
    <t>000000P105000000294</t>
  </si>
  <si>
    <t>18WDIPV T TRUE WD RG 4 5-67459911</t>
  </si>
  <si>
    <t>MC0000000369</t>
  </si>
  <si>
    <t>000000P105000000295</t>
  </si>
  <si>
    <t>18RDIPKOP T TWO CLPDT1618-64027115</t>
  </si>
  <si>
    <t>60081038</t>
  </si>
  <si>
    <t>000000P105000000296</t>
  </si>
  <si>
    <t>06000114</t>
  </si>
  <si>
    <t>000000P105000000297</t>
  </si>
  <si>
    <t>18R DI MOP T WIRE RG 6 5-64027956</t>
  </si>
  <si>
    <t>SS MAKERS SQR PDT24IN-63448532</t>
  </si>
  <si>
    <t>60081958</t>
  </si>
  <si>
    <t>000000P105000000298</t>
  </si>
  <si>
    <t>18R FULL DI T1 WD 6 5-68169836</t>
  </si>
  <si>
    <t>20001306</t>
  </si>
  <si>
    <t>000000P105000000299</t>
  </si>
  <si>
    <t>18R T1 NRW RG5 5-67797361</t>
  </si>
  <si>
    <t>SS RTT MD HRT TAG PDT18IN-30971655</t>
  </si>
  <si>
    <t>MC0000000396</t>
  </si>
  <si>
    <t>000000P105000000300</t>
  </si>
  <si>
    <t>60078232</t>
  </si>
  <si>
    <t>000000P105000000301</t>
  </si>
  <si>
    <t>MC0000000412</t>
  </si>
  <si>
    <t>000000P105000000302</t>
  </si>
  <si>
    <t>18R DI MOP T WIRE RG 5 5-64027905</t>
  </si>
  <si>
    <t>60077273</t>
  </si>
  <si>
    <t>000000P105000000303</t>
  </si>
  <si>
    <t>SS 1837 NRW BASC RG 5-22993755</t>
  </si>
  <si>
    <t>MC0000000421</t>
  </si>
  <si>
    <t>000000P105000000304</t>
  </si>
  <si>
    <t>18R DI MOP T WIRE RG 4 5-64027867</t>
  </si>
  <si>
    <t>60082027</t>
  </si>
  <si>
    <t>000000P105000000307</t>
  </si>
  <si>
    <t>18W DI T WIRE RG 5-33279337</t>
  </si>
  <si>
    <t>MC0000000461</t>
  </si>
  <si>
    <t>000000P105000000308</t>
  </si>
  <si>
    <t>18W T SQR RG 7-33264216</t>
  </si>
  <si>
    <t>18R DI PV T TRUE .23TW NW RG 6.5-63961817</t>
  </si>
  <si>
    <t>60073128</t>
  </si>
  <si>
    <t>000000P105000000309</t>
  </si>
  <si>
    <t>18R T TRUE WD RG 7 5-63064386</t>
  </si>
  <si>
    <t>SS MAKERS MD SLICE RG9-63450421</t>
  </si>
  <si>
    <t>MC0000000477</t>
  </si>
  <si>
    <t>000000P105000000310</t>
  </si>
  <si>
    <t>60062750</t>
  </si>
  <si>
    <t>000000P105000000311</t>
  </si>
  <si>
    <t>18R T TRUE NRW RG 7 5-63065307</t>
  </si>
  <si>
    <t>18Y CUDI2 24FV VVS2-63727164</t>
  </si>
  <si>
    <t>99000004</t>
  </si>
  <si>
    <t>000000P105000000312</t>
  </si>
  <si>
    <t>MC0000000532</t>
  </si>
  <si>
    <t>000000P105000000313</t>
  </si>
  <si>
    <t>60064281</t>
  </si>
  <si>
    <t>000000P105000000314</t>
  </si>
  <si>
    <t>23000103</t>
  </si>
  <si>
    <t>000000P105000000315</t>
  </si>
  <si>
    <t>MC0000000547</t>
  </si>
  <si>
    <t>000000P105000000316</t>
  </si>
  <si>
    <t>18R DI LVGHRT WIRE BLT MD-60963703</t>
  </si>
  <si>
    <t>40000256</t>
  </si>
  <si>
    <t>000000P105000000317</t>
  </si>
  <si>
    <t>MC0000000574</t>
  </si>
  <si>
    <t>000000P105000000318</t>
  </si>
  <si>
    <t>000000P105000000321</t>
  </si>
  <si>
    <t>000000P105000000322</t>
  </si>
  <si>
    <t>18R DI MOP T WIRE RG 7-64027972</t>
  </si>
  <si>
    <t>MC0000000577</t>
  </si>
  <si>
    <t>000000P105000000323</t>
  </si>
  <si>
    <t>18R ATLAS X CLOSED LG HOOP ER-67786130</t>
  </si>
  <si>
    <t>000000P105000000324</t>
  </si>
  <si>
    <t>MC0000000597</t>
  </si>
  <si>
    <t>000000P105000000325</t>
  </si>
  <si>
    <t>18R T TWO DI NRW RG 6-36821329</t>
  </si>
  <si>
    <t>MC0000000603</t>
  </si>
  <si>
    <t>000000P105000000326</t>
  </si>
  <si>
    <t>18RDIPV T TRUE NW RG 4 5-67456386</t>
  </si>
  <si>
    <t>MC0000000602</t>
  </si>
  <si>
    <t>000000P105000000327</t>
  </si>
  <si>
    <t>18R DI T WIRE BLT SM-35093338</t>
  </si>
  <si>
    <t>38000041</t>
  </si>
  <si>
    <t>000000P105000000328</t>
  </si>
  <si>
    <t>SS18Y MAKERS CHAIN BLT SM-63448877</t>
  </si>
  <si>
    <t>MC0000000637</t>
  </si>
  <si>
    <t>000000P105000000329</t>
  </si>
  <si>
    <t>18RDI T TRUE LINK RG 5-63064734</t>
  </si>
  <si>
    <t>MC0000000643</t>
  </si>
  <si>
    <t>000000P105000000330</t>
  </si>
  <si>
    <t>18RDI T TRUE LINK RG 7-63064815</t>
  </si>
  <si>
    <t>PT DI RD AQ 6MM SLST PDT-32814867</t>
  </si>
  <si>
    <t>MC0000000654</t>
  </si>
  <si>
    <t>000000P105000000331</t>
  </si>
  <si>
    <t>60063589</t>
  </si>
  <si>
    <t>000000P105000000332</t>
  </si>
  <si>
    <t>18Y DI MN FLEURDELIS KEY-62866934</t>
  </si>
  <si>
    <t>PT DI WOVEN KEY LG-35725636</t>
  </si>
  <si>
    <t>60075010</t>
  </si>
  <si>
    <t>000000P105000000333</t>
  </si>
  <si>
    <t>PT18Y LYNN DI 28TW ER STD-10907152</t>
  </si>
  <si>
    <t>000000P105000000334</t>
  </si>
  <si>
    <t>000000P105000000336</t>
  </si>
  <si>
    <t>MC0000000740</t>
  </si>
  <si>
    <t>000000P105000000339</t>
  </si>
  <si>
    <t>MC0000000745</t>
  </si>
  <si>
    <t>000000P105000000340</t>
  </si>
  <si>
    <t>18R DI T SMILE SM PDT-63058823</t>
  </si>
  <si>
    <t>MC0000000751</t>
  </si>
  <si>
    <t>000000P105000000341</t>
  </si>
  <si>
    <t>MC0000000771</t>
  </si>
  <si>
    <t>000000P105000000342</t>
  </si>
  <si>
    <t>18Y TURQ T WIRE BLT MD-64028871</t>
  </si>
  <si>
    <t>18R MOP T WIRE RG 7-64027298</t>
  </si>
  <si>
    <t>MC0000000782</t>
  </si>
  <si>
    <t>000000P105000000343</t>
  </si>
  <si>
    <t>000000P105000000344</t>
  </si>
  <si>
    <t>12001422</t>
  </si>
  <si>
    <t>000000P105000000345</t>
  </si>
  <si>
    <t>18R DI MOP T WIRE RG 7 5-64027999</t>
  </si>
  <si>
    <t>MC0000000820</t>
  </si>
  <si>
    <t>000000P105000000346</t>
  </si>
  <si>
    <t>18RDI MOP T TWO CLPDT1618-64026828</t>
  </si>
  <si>
    <t>MC0000000839</t>
  </si>
  <si>
    <t>000000P105000000347</t>
  </si>
  <si>
    <t>18R SM DI DAISY KEY-26887771</t>
  </si>
  <si>
    <t>MC0000000843</t>
  </si>
  <si>
    <t>000000P105000000348</t>
  </si>
  <si>
    <t>18R DI MN FLEURDELIS KEY-62866993</t>
  </si>
  <si>
    <t>MC0000000850</t>
  </si>
  <si>
    <t>000000P105000000349</t>
  </si>
  <si>
    <t>MC0000000851</t>
  </si>
  <si>
    <t>000000P105000000350</t>
  </si>
  <si>
    <t>PT RDDI 91 G VS1-66866815</t>
  </si>
  <si>
    <t>MC0000000858</t>
  </si>
  <si>
    <t>000000P105000000351</t>
  </si>
  <si>
    <t>18R MOP T WIRE RG 5-64027204</t>
  </si>
  <si>
    <t>60065597</t>
  </si>
  <si>
    <t>000000P105000000352</t>
  </si>
  <si>
    <t>18R ONYX T WIRE RG 5-64027441</t>
  </si>
  <si>
    <t>BRS RTHNM TCLP BP-25391209</t>
  </si>
  <si>
    <t>20000850</t>
  </si>
  <si>
    <t>000000P105000000353</t>
  </si>
  <si>
    <t>18R DI MN PETALS KEY-60660190</t>
  </si>
  <si>
    <t>000000P105000000356</t>
  </si>
  <si>
    <t>18R HLFDI T1 NRWRG4 5-67795288</t>
  </si>
  <si>
    <t>60083454</t>
  </si>
  <si>
    <t>000000P105000000357</t>
  </si>
  <si>
    <t>18R DI T WIRE FC RING 4 5-34901473</t>
  </si>
  <si>
    <t>000000P105000000358</t>
  </si>
  <si>
    <t>MC0000000945</t>
  </si>
  <si>
    <t>000000P105000000359</t>
  </si>
  <si>
    <t>18R MOP T WIRE BLT LG-63958360</t>
  </si>
  <si>
    <t>MC0000000950</t>
  </si>
  <si>
    <t>000000P105000000360</t>
  </si>
  <si>
    <t>MC0000000969</t>
  </si>
  <si>
    <t>000000P105000000361</t>
  </si>
  <si>
    <t>04002116</t>
  </si>
  <si>
    <t>000000P105000000362</t>
  </si>
  <si>
    <t>PT DI TFHARMONY RG 4 5-30620097</t>
  </si>
  <si>
    <t>60073303</t>
  </si>
  <si>
    <t>000000P105000000363</t>
  </si>
  <si>
    <t>18R HLFDI T1 NRWRG5 5-67795334</t>
  </si>
  <si>
    <t>MC0000001022</t>
  </si>
  <si>
    <t>000000P105000000364</t>
  </si>
  <si>
    <t>SS MAKERS ID CHAIN BLT SM-63526576</t>
  </si>
  <si>
    <t>MC0000001035</t>
  </si>
  <si>
    <t>000000P105000000365</t>
  </si>
  <si>
    <t>PT INSIDE OUT DI1 10 HP-11857035</t>
  </si>
  <si>
    <t>MC0000001079</t>
  </si>
  <si>
    <t>000000P105000000366</t>
  </si>
  <si>
    <t>27001425</t>
  </si>
  <si>
    <t>000000P105000000368</t>
  </si>
  <si>
    <t>STAFF</t>
  </si>
  <si>
    <t>SS MAKERS MD SLICE RG8-63450405</t>
  </si>
  <si>
    <t>60088498</t>
  </si>
  <si>
    <t>000000P105000000369</t>
  </si>
  <si>
    <t>18R DI T SQR WRAP RG 6-35606696</t>
  </si>
  <si>
    <t>MC0000001147</t>
  </si>
  <si>
    <t>000000P105000000370</t>
  </si>
  <si>
    <t>18R DI TCO 3MM RG 6 5-27897916</t>
  </si>
  <si>
    <t>MC0000001150</t>
  </si>
  <si>
    <t>000000P105000000371</t>
  </si>
  <si>
    <t>MC0000001157</t>
  </si>
  <si>
    <t>000000P105000000372</t>
  </si>
  <si>
    <t>MC0000001159</t>
  </si>
  <si>
    <t>000000P105000000373</t>
  </si>
  <si>
    <t>000000P105000000374</t>
  </si>
  <si>
    <t>PT HC RD DI 2 0MM RG 4 5-18408937</t>
  </si>
  <si>
    <t>MC0000001165</t>
  </si>
  <si>
    <t>000000P105000000375</t>
  </si>
  <si>
    <t>PTDI TIFESN DBMG 4MM 6 5-27897738</t>
  </si>
  <si>
    <t>PT RD DI 64 E VS1-67364856</t>
  </si>
  <si>
    <t>MC0000001176</t>
  </si>
  <si>
    <t>000000P105000000376</t>
  </si>
  <si>
    <t>SS MAKERS ID CHAIN BLT LG-63526614</t>
  </si>
  <si>
    <t>13000017</t>
  </si>
  <si>
    <t>000000P105000000377</t>
  </si>
  <si>
    <t>18R ONYX T WIRE RG 6 5-64027514</t>
  </si>
  <si>
    <t>60063975</t>
  </si>
  <si>
    <t>000000P105000000378</t>
  </si>
  <si>
    <t>PT RD DI 1 21 E VS2-69029752</t>
  </si>
  <si>
    <t>MC0000001188</t>
  </si>
  <si>
    <t>000000P105000000379</t>
  </si>
  <si>
    <t>MC0000000127</t>
  </si>
  <si>
    <t>000000P105000000382</t>
  </si>
  <si>
    <t>60062780</t>
  </si>
  <si>
    <t>000000P105000000383</t>
  </si>
  <si>
    <t>SS BL RTTSPL HRTTAGBLT SM-61523022</t>
  </si>
  <si>
    <t>MC0000001244</t>
  </si>
  <si>
    <t>000000P105000000384</t>
  </si>
  <si>
    <t>000000P105000000385</t>
  </si>
  <si>
    <t>PT RD DI 34 E VVS2-67934423</t>
  </si>
  <si>
    <t>05002520</t>
  </si>
  <si>
    <t>000000P105000000386</t>
  </si>
  <si>
    <t>18R DI RD SGLRW SLST PDT-60879346</t>
  </si>
  <si>
    <t>MC0000001261</t>
  </si>
  <si>
    <t>000000P105000000387</t>
  </si>
  <si>
    <t>SS RD RTTMNHRT 4MMBDBLTLG-61941819</t>
  </si>
  <si>
    <t>60073476</t>
  </si>
  <si>
    <t>000000P105000000388</t>
  </si>
  <si>
    <t>18WDIACNT MDFLEURDELISKEY-60660123</t>
  </si>
  <si>
    <t>000000P105000000390</t>
  </si>
  <si>
    <t>18W PENDANT CHAIN 18IN-33430531</t>
  </si>
  <si>
    <t>000000P105000000391</t>
  </si>
  <si>
    <t>PT DI TIF EMB 3 HC RG4 5-16026174</t>
  </si>
  <si>
    <t>000000P105000000395</t>
  </si>
  <si>
    <t>PT18 CUDI 72TW FI DBLRWER-68789532</t>
  </si>
  <si>
    <t>000000P105000000396</t>
  </si>
  <si>
    <t>PT DI TFHARMONY RG 5 5-30620046</t>
  </si>
  <si>
    <t>60064055</t>
  </si>
  <si>
    <t>000000P105000000397</t>
  </si>
  <si>
    <t>PT RD DI 2 03 F VVS1-69252907</t>
  </si>
  <si>
    <t>MC0000001137</t>
  </si>
  <si>
    <t>000000P105000000398</t>
  </si>
  <si>
    <t>SS BLU BDR RTT MD HRT PDT-63477966</t>
  </si>
  <si>
    <t>MC0000001337</t>
  </si>
  <si>
    <t>000000P105000000399</t>
  </si>
  <si>
    <t>18Y DI MN TREFOIL KEY-62866918</t>
  </si>
  <si>
    <t>MC0000001345</t>
  </si>
  <si>
    <t>000000P105000000400</t>
  </si>
  <si>
    <t>MC0000001364</t>
  </si>
  <si>
    <t>000000P105000000401</t>
  </si>
  <si>
    <t>MC0000001370</t>
  </si>
  <si>
    <t>000000P105000000402</t>
  </si>
  <si>
    <t>SS BLUE BAND T CLIP BP-25391276</t>
  </si>
  <si>
    <t>000000P105000000403</t>
  </si>
  <si>
    <t>18R T1 NRW RG5-67797345</t>
  </si>
  <si>
    <t>MC0000001388</t>
  </si>
  <si>
    <t>000000P105000000404</t>
  </si>
  <si>
    <t>PT RD DI 41 F VVS1-37952184</t>
  </si>
  <si>
    <t>MC0000001390</t>
  </si>
  <si>
    <t>000000P105000000405</t>
  </si>
  <si>
    <t>18R DI T WIRE RG 6-35007733</t>
  </si>
  <si>
    <t>000000P105000000406</t>
  </si>
  <si>
    <t>PT DI TFHARMONY RG 6-30620038</t>
  </si>
  <si>
    <t>MC0000001400</t>
  </si>
  <si>
    <t>000000P105000000407</t>
  </si>
  <si>
    <t>METALLIC MN VDPOCHE PORS4-60570434</t>
  </si>
  <si>
    <t>60090971</t>
  </si>
  <si>
    <t>000000P105000000408</t>
  </si>
  <si>
    <t>18Y DI DBL LVG HRT BLT MD-63062413</t>
  </si>
  <si>
    <t>MC0000001403</t>
  </si>
  <si>
    <t>000000P105000000409</t>
  </si>
  <si>
    <t>000000P105000000410</t>
  </si>
  <si>
    <t>000000P105000000411</t>
  </si>
  <si>
    <t>SS BL RTTSPL HRTTAGBLT MD-61523049</t>
  </si>
  <si>
    <t>MC0000001433</t>
  </si>
  <si>
    <t>000000P105000000412</t>
  </si>
  <si>
    <t>MC0000001436</t>
  </si>
  <si>
    <t>000000P105000000413</t>
  </si>
  <si>
    <t>18Y DI OLVLF STUD ER-30144368</t>
  </si>
  <si>
    <t>05001228</t>
  </si>
  <si>
    <t>000000P105000000414</t>
  </si>
  <si>
    <t>18R MD OPEN KNOT KEY-28686269</t>
  </si>
  <si>
    <t>MC0000001441</t>
  </si>
  <si>
    <t>000000P105000000415</t>
  </si>
  <si>
    <t>MC0000001443</t>
  </si>
  <si>
    <t>000000P105000000416</t>
  </si>
  <si>
    <t>18R DI MOP T WIRE RG 8-64028014</t>
  </si>
  <si>
    <t>MC0000001445</t>
  </si>
  <si>
    <t>000000P105000000417</t>
  </si>
  <si>
    <t>MC0000001450</t>
  </si>
  <si>
    <t>000000P105000000418</t>
  </si>
  <si>
    <t>MC0000001455</t>
  </si>
  <si>
    <t>000000P105000000419</t>
  </si>
  <si>
    <t>000000P105000000422</t>
  </si>
  <si>
    <t>13000850</t>
  </si>
  <si>
    <t>000000P105000000423</t>
  </si>
  <si>
    <t>000000P105000000424</t>
  </si>
  <si>
    <t>07002811</t>
  </si>
  <si>
    <t>000000P105000000425</t>
  </si>
  <si>
    <t>MC0000001486</t>
  </si>
  <si>
    <t>000000P105000000426</t>
  </si>
  <si>
    <t>18Y DI T WIRE RG 6 5-35007997</t>
  </si>
  <si>
    <t>60091157</t>
  </si>
  <si>
    <t>000000P105000000427</t>
  </si>
  <si>
    <t>18R ONYX T WIRE BLT MD-64028685</t>
  </si>
  <si>
    <t>MC0000001501</t>
  </si>
  <si>
    <t>000000P105000000428</t>
  </si>
  <si>
    <t>60091158</t>
  </si>
  <si>
    <t>000000P105000000429</t>
  </si>
  <si>
    <t>MC0000001522</t>
  </si>
  <si>
    <t>000000P105000000431</t>
  </si>
  <si>
    <t>SS OLVLF NRW BD RG 7-30210611</t>
  </si>
  <si>
    <t>MC0000001536</t>
  </si>
  <si>
    <t>000000P105000000432</t>
  </si>
  <si>
    <t>18Y MN LVG HEART BLT MD-34506361</t>
  </si>
  <si>
    <t>MC0000001558</t>
  </si>
  <si>
    <t>000000P105000000433</t>
  </si>
  <si>
    <t>MC0000001568</t>
  </si>
  <si>
    <t>000000P105000000434</t>
  </si>
  <si>
    <t>PT RD DI 2 65 D VVS1-70168111</t>
  </si>
  <si>
    <t>23000715</t>
  </si>
  <si>
    <t>000000P105000000435</t>
  </si>
  <si>
    <t>MC0000001591</t>
  </si>
  <si>
    <t>000000P105000000436</t>
  </si>
  <si>
    <t>TOP 10 Qty by member account code</t>
  </si>
  <si>
    <t>TOP 10 amt by member account code</t>
  </si>
  <si>
    <t>TOP 10 QTY BY ITEM SOLD</t>
  </si>
  <si>
    <t>TOP 10 AMT BY ITEM SOLD</t>
  </si>
  <si>
    <t>ANALYZE BY SCHEME NAME</t>
  </si>
  <si>
    <t>Sum of Sales amt $</t>
  </si>
  <si>
    <t>Sum of Sales Qty</t>
  </si>
  <si>
    <t>Count of Invoice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</si>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</sst>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29">
    <font>
      <sz val="11"/>
      <name val="Calibri"/>
      <charset val="134"/>
    </font>
    <font>
      <sz val="12"/>
      <name val="Calibri"/>
      <charset val="134"/>
    </font>
    <font>
      <b/>
      <sz val="11"/>
      <name val="Cambria"/>
      <charset val="134"/>
    </font>
    <font>
      <sz val="11"/>
      <name val="Cambria"/>
      <charset val="134"/>
    </font>
    <font>
      <b/>
      <sz val="11"/>
      <color rgb="FFFFFFFF"/>
      <name val="Cambria"/>
      <charset val="134"/>
    </font>
    <font>
      <b/>
      <sz val="10"/>
      <color rgb="FF000000"/>
      <name val="Cambria"/>
      <charset val="134"/>
    </font>
    <font>
      <b/>
      <sz val="10.5"/>
      <color rgb="FF000000"/>
      <name val="Cambria"/>
      <charset val="134"/>
    </font>
    <font>
      <sz val="10.5"/>
      <color rgb="FF000000"/>
      <name val="Cambria"/>
      <charset val="134"/>
    </font>
    <font>
      <b/>
      <sz val="11"/>
      <color rgb="FFFF0000"/>
      <name val="Cambri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9" borderId="2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27" applyNumberFormat="0" applyAlignment="0" applyProtection="0">
      <alignment vertical="center"/>
    </xf>
    <xf numFmtId="0" fontId="19" fillId="11" borderId="28" applyNumberFormat="0" applyAlignment="0" applyProtection="0">
      <alignment vertical="center"/>
    </xf>
    <xf numFmtId="0" fontId="20" fillId="11" borderId="27" applyNumberFormat="0" applyAlignment="0" applyProtection="0">
      <alignment vertical="center"/>
    </xf>
    <xf numFmtId="0" fontId="21" fillId="12" borderId="29" applyNumberFormat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3" fillId="0" borderId="31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</cellStyleXfs>
  <cellXfs count="64">
    <xf numFmtId="0" fontId="0" fillId="0" borderId="0" xfId="0"/>
    <xf numFmtId="0" fontId="0" fillId="2" borderId="0" xfId="0" applyFill="1"/>
    <xf numFmtId="3" fontId="0" fillId="0" borderId="0" xfId="0" applyNumberFormat="1"/>
    <xf numFmtId="177" fontId="0" fillId="0" borderId="0" xfId="0" applyNumberFormat="1"/>
    <xf numFmtId="0" fontId="1" fillId="3" borderId="0" xfId="0" applyFont="1" applyFill="1"/>
    <xf numFmtId="0" fontId="0" fillId="3" borderId="0" xfId="0" applyFill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2" fillId="4" borderId="0" xfId="0" applyFont="1" applyFill="1"/>
    <xf numFmtId="58" fontId="3" fillId="0" borderId="0" xfId="0" applyNumberFormat="1" applyFont="1"/>
    <xf numFmtId="3" fontId="3" fillId="0" borderId="0" xfId="0" applyNumberFormat="1" applyFont="1"/>
    <xf numFmtId="3" fontId="3" fillId="4" borderId="0" xfId="0" applyNumberFormat="1" applyFont="1" applyFill="1"/>
    <xf numFmtId="43" fontId="3" fillId="4" borderId="0" xfId="1" applyFont="1" applyFill="1"/>
    <xf numFmtId="177" fontId="3" fillId="4" borderId="0" xfId="1" applyNumberFormat="1" applyFont="1" applyFill="1"/>
    <xf numFmtId="0" fontId="3" fillId="4" borderId="0" xfId="0" applyFont="1" applyFill="1"/>
    <xf numFmtId="0" fontId="0" fillId="0" borderId="0" xfId="0" applyAlignment="1">
      <alignment horizontal="left"/>
    </xf>
    <xf numFmtId="0" fontId="0" fillId="0" borderId="0" xfId="0" applyNumberFormat="1"/>
    <xf numFmtId="0" fontId="2" fillId="5" borderId="0" xfId="0" applyFont="1" applyFill="1"/>
    <xf numFmtId="0" fontId="3" fillId="5" borderId="1" xfId="0" applyFont="1" applyFill="1" applyBorder="1"/>
    <xf numFmtId="0" fontId="3" fillId="5" borderId="0" xfId="0" applyFont="1" applyFill="1"/>
    <xf numFmtId="0" fontId="4" fillId="6" borderId="2" xfId="0" applyFont="1" applyFill="1" applyBorder="1" applyAlignment="1">
      <alignment horizontal="center" vertical="center" wrapText="1" readingOrder="1"/>
    </xf>
    <xf numFmtId="0" fontId="4" fillId="6" borderId="3" xfId="0" applyFont="1" applyFill="1" applyBorder="1" applyAlignment="1">
      <alignment horizontal="center" vertical="center" wrapText="1" readingOrder="1"/>
    </xf>
    <xf numFmtId="0" fontId="4" fillId="6" borderId="4" xfId="0" applyFont="1" applyFill="1" applyBorder="1" applyAlignment="1">
      <alignment horizontal="center" vertical="center" wrapText="1" readingOrder="1"/>
    </xf>
    <xf numFmtId="0" fontId="4" fillId="6" borderId="5" xfId="0" applyFont="1" applyFill="1" applyBorder="1" applyAlignment="1">
      <alignment horizontal="center" vertical="center" wrapText="1" readingOrder="1"/>
    </xf>
    <xf numFmtId="0" fontId="4" fillId="6" borderId="6" xfId="0" applyFont="1" applyFill="1" applyBorder="1" applyAlignment="1">
      <alignment horizontal="center" vertical="center" wrapText="1" readingOrder="1"/>
    </xf>
    <xf numFmtId="0" fontId="4" fillId="6" borderId="7" xfId="0" applyFont="1" applyFill="1" applyBorder="1" applyAlignment="1">
      <alignment horizontal="center" vertical="center" wrapText="1" readingOrder="1"/>
    </xf>
    <xf numFmtId="0" fontId="4" fillId="6" borderId="0" xfId="0" applyFont="1" applyFill="1" applyAlignment="1">
      <alignment horizontal="center" vertical="center" wrapText="1" readingOrder="1"/>
    </xf>
    <xf numFmtId="0" fontId="4" fillId="6" borderId="8" xfId="0" applyFont="1" applyFill="1" applyBorder="1" applyAlignment="1">
      <alignment horizontal="center" vertical="center" wrapText="1" readingOrder="1"/>
    </xf>
    <xf numFmtId="0" fontId="4" fillId="6" borderId="9" xfId="0" applyFont="1" applyFill="1" applyBorder="1" applyAlignment="1">
      <alignment horizontal="center" vertical="center" wrapText="1" readingOrder="1"/>
    </xf>
    <xf numFmtId="0" fontId="4" fillId="6" borderId="10" xfId="0" applyFont="1" applyFill="1" applyBorder="1" applyAlignment="1">
      <alignment horizontal="center" vertical="center" wrapText="1" readingOrder="1"/>
    </xf>
    <xf numFmtId="0" fontId="4" fillId="6" borderId="11" xfId="0" applyFont="1" applyFill="1" applyBorder="1" applyAlignment="1">
      <alignment horizontal="center" vertical="center" wrapText="1" readingOrder="1"/>
    </xf>
    <xf numFmtId="0" fontId="4" fillId="6" borderId="12" xfId="0" applyFont="1" applyFill="1" applyBorder="1" applyAlignment="1">
      <alignment horizontal="center" vertical="center" wrapText="1" readingOrder="1"/>
    </xf>
    <xf numFmtId="0" fontId="4" fillId="6" borderId="13" xfId="0" applyFont="1" applyFill="1" applyBorder="1" applyAlignment="1">
      <alignment horizontal="center" vertical="center" wrapText="1" readingOrder="1"/>
    </xf>
    <xf numFmtId="0" fontId="5" fillId="5" borderId="14" xfId="0" applyFont="1" applyFill="1" applyBorder="1" applyAlignment="1">
      <alignment horizontal="center" vertical="center" wrapText="1" readingOrder="1"/>
    </xf>
    <xf numFmtId="0" fontId="6" fillId="5" borderId="15" xfId="0" applyFont="1" applyFill="1" applyBorder="1" applyAlignment="1">
      <alignment horizontal="center" vertical="center" wrapText="1" readingOrder="1"/>
    </xf>
    <xf numFmtId="44" fontId="6" fillId="5" borderId="16" xfId="2" applyFont="1" applyFill="1" applyBorder="1" applyAlignment="1">
      <alignment horizontal="center" vertical="center" wrapText="1" readingOrder="1"/>
    </xf>
    <xf numFmtId="0" fontId="6" fillId="5" borderId="16" xfId="0" applyFont="1" applyFill="1" applyBorder="1" applyAlignment="1">
      <alignment horizontal="center" vertical="center" wrapText="1" readingOrder="1"/>
    </xf>
    <xf numFmtId="8" fontId="6" fillId="5" borderId="16" xfId="0" applyNumberFormat="1" applyFont="1" applyFill="1" applyBorder="1" applyAlignment="1">
      <alignment horizontal="center" vertical="center" wrapText="1" readingOrder="1"/>
    </xf>
    <xf numFmtId="2" fontId="6" fillId="5" borderId="17" xfId="0" applyNumberFormat="1" applyFont="1" applyFill="1" applyBorder="1" applyAlignment="1">
      <alignment horizontal="center" vertical="center" wrapText="1" readingOrder="1"/>
    </xf>
    <xf numFmtId="0" fontId="5" fillId="7" borderId="2" xfId="0" applyFont="1" applyFill="1" applyBorder="1" applyAlignment="1">
      <alignment horizontal="center" vertical="center" wrapText="1" readingOrder="1"/>
    </xf>
    <xf numFmtId="0" fontId="7" fillId="7" borderId="3" xfId="0" applyFont="1" applyFill="1" applyBorder="1" applyAlignment="1">
      <alignment horizontal="center" vertical="center" wrapText="1" readingOrder="1"/>
    </xf>
    <xf numFmtId="6" fontId="7" fillId="7" borderId="0" xfId="0" applyNumberFormat="1" applyFont="1" applyFill="1" applyAlignment="1">
      <alignment horizontal="center" vertical="center" wrapText="1" readingOrder="1"/>
    </xf>
    <xf numFmtId="0" fontId="7" fillId="7" borderId="0" xfId="0" applyFont="1" applyFill="1" applyAlignment="1">
      <alignment horizontal="center" vertical="center" wrapText="1" readingOrder="1"/>
    </xf>
    <xf numFmtId="8" fontId="7" fillId="7" borderId="0" xfId="0" applyNumberFormat="1" applyFont="1" applyFill="1" applyAlignment="1">
      <alignment horizontal="center" vertical="center" wrapText="1" readingOrder="1"/>
    </xf>
    <xf numFmtId="2" fontId="7" fillId="7" borderId="18" xfId="0" applyNumberFormat="1" applyFont="1" applyFill="1" applyBorder="1" applyAlignment="1">
      <alignment horizontal="center" vertical="center" wrapText="1" readingOrder="1"/>
    </xf>
    <xf numFmtId="0" fontId="5" fillId="7" borderId="19" xfId="0" applyFont="1" applyFill="1" applyBorder="1" applyAlignment="1">
      <alignment horizontal="center" vertical="center" wrapText="1" readingOrder="1"/>
    </xf>
    <xf numFmtId="0" fontId="7" fillId="7" borderId="20" xfId="0" applyFont="1" applyFill="1" applyBorder="1" applyAlignment="1">
      <alignment horizontal="center" vertical="center" wrapText="1" readingOrder="1"/>
    </xf>
    <xf numFmtId="6" fontId="7" fillId="7" borderId="1" xfId="0" applyNumberFormat="1" applyFont="1" applyFill="1" applyBorder="1" applyAlignment="1">
      <alignment horizontal="center" vertical="center" wrapText="1" readingOrder="1"/>
    </xf>
    <xf numFmtId="0" fontId="7" fillId="7" borderId="1" xfId="0" applyFont="1" applyFill="1" applyBorder="1" applyAlignment="1">
      <alignment horizontal="center" vertical="center" wrapText="1" readingOrder="1"/>
    </xf>
    <xf numFmtId="2" fontId="7" fillId="7" borderId="21" xfId="0" applyNumberFormat="1" applyFont="1" applyFill="1" applyBorder="1" applyAlignment="1">
      <alignment horizontal="center" vertical="center" wrapText="1" readingOrder="1"/>
    </xf>
    <xf numFmtId="0" fontId="5" fillId="5" borderId="22" xfId="0" applyFont="1" applyFill="1" applyBorder="1" applyAlignment="1">
      <alignment horizontal="center" vertical="center" wrapText="1" readingOrder="1"/>
    </xf>
    <xf numFmtId="0" fontId="7" fillId="5" borderId="0" xfId="0" applyFont="1" applyFill="1" applyAlignment="1">
      <alignment horizontal="center" vertical="center" wrapText="1" readingOrder="1"/>
    </xf>
    <xf numFmtId="0" fontId="7" fillId="5" borderId="4" xfId="0" applyFont="1" applyFill="1" applyBorder="1" applyAlignment="1">
      <alignment horizontal="center" vertical="center" wrapText="1" readingOrder="1"/>
    </xf>
    <xf numFmtId="2" fontId="7" fillId="5" borderId="18" xfId="0" applyNumberFormat="1" applyFont="1" applyFill="1" applyBorder="1" applyAlignment="1">
      <alignment horizontal="center" vertical="center" wrapText="1" readingOrder="1"/>
    </xf>
    <xf numFmtId="0" fontId="5" fillId="5" borderId="19" xfId="0" applyFont="1" applyFill="1" applyBorder="1" applyAlignment="1">
      <alignment horizontal="center" vertical="center" wrapText="1" readingOrder="1"/>
    </xf>
    <xf numFmtId="0" fontId="7" fillId="5" borderId="1" xfId="0" applyFont="1" applyFill="1" applyBorder="1" applyAlignment="1">
      <alignment horizontal="center" vertical="center" wrapText="1" readingOrder="1"/>
    </xf>
    <xf numFmtId="2" fontId="7" fillId="5" borderId="21" xfId="0" applyNumberFormat="1" applyFont="1" applyFill="1" applyBorder="1" applyAlignment="1">
      <alignment horizontal="center" vertical="center" wrapText="1" readingOrder="1"/>
    </xf>
    <xf numFmtId="0" fontId="5" fillId="7" borderId="22" xfId="0" applyFont="1" applyFill="1" applyBorder="1" applyAlignment="1">
      <alignment horizontal="center" vertical="center" wrapText="1" readingOrder="1"/>
    </xf>
    <xf numFmtId="0" fontId="5" fillId="5" borderId="2" xfId="0" applyFont="1" applyFill="1" applyBorder="1" applyAlignment="1">
      <alignment horizontal="center" vertical="center" wrapText="1" readingOrder="1"/>
    </xf>
    <xf numFmtId="2" fontId="7" fillId="5" borderId="23" xfId="0" applyNumberFormat="1" applyFont="1" applyFill="1" applyBorder="1" applyAlignment="1">
      <alignment horizontal="center" vertical="center" wrapText="1" readingOrder="1"/>
    </xf>
    <xf numFmtId="0" fontId="7" fillId="7" borderId="4" xfId="0" applyFont="1" applyFill="1" applyBorder="1" applyAlignment="1">
      <alignment horizontal="center" vertical="center" wrapText="1" readingOrder="1"/>
    </xf>
    <xf numFmtId="0" fontId="8" fillId="5" borderId="0" xfId="0" applyFont="1" applyFill="1"/>
    <xf numFmtId="0" fontId="3" fillId="8" borderId="0" xfId="0" applyFont="1" applyFill="1" applyAlignment="1">
      <alignment horizontal="center" vertical="center"/>
    </xf>
    <xf numFmtId="0" fontId="4" fillId="6" borderId="12" xfId="0" applyFont="1" applyFill="1" applyBorder="1" applyAlignment="1" quotePrefix="1">
      <alignment horizontal="center" vertical="center" wrapText="1" readingOrder="1"/>
    </xf>
    <xf numFmtId="0" fontId="4" fillId="6" borderId="13" xfId="0" applyFont="1" applyFill="1" applyBorder="1" applyAlignment="1" quotePrefix="1">
      <alignment horizontal="center"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6">
    <dxf>
      <numFmt numFmtId="177" formatCode="_(* #,##0_);_(* \(#,##0\);_(* &quot;-&quot;??_);_(@_)"/>
    </dxf>
    <dxf>
      <numFmt numFmtId="177" formatCode="_(* #,##0_);_(* \(#,##0\);_(* &quot;-&quot;??_);_(@_)"/>
    </dxf>
    <dxf>
      <numFmt numFmtId="177" formatCode="_(* #,##0_);_(* \(#,##0\);_(* &quot;-&quot;??_);_(@_)"/>
    </dxf>
    <dxf>
      <numFmt numFmtId="177" formatCode="_(* #,##0_);_(* \(#,##0\);_(* &quot;-&quot;??_);_(@_)"/>
    </dxf>
    <dxf>
      <numFmt numFmtId="177" formatCode="_(* #,##0_);_(* \(#,##0\);_(* &quot;-&quot;??_);_(@_)"/>
    </dxf>
    <dxf>
      <numFmt numFmtId="177" formatCode="_(* #,##0_);_(* \(#,##0\);_(* &quot;-&quot;??_);_(@_)"/>
    </dxf>
    <dxf>
      <numFmt numFmtId="177" formatCode="_(* #,##0_);_(* \(#,##0\);_(* &quot;-&quot;??_);_(@_)"/>
    </dxf>
    <dxf>
      <font>
        <name val="Cambria"/>
        <scheme val="none"/>
        <b val="0"/>
        <i val="0"/>
        <strike val="0"/>
        <u val="none"/>
        <sz val="11"/>
        <color auto="1"/>
      </font>
      <numFmt numFmtId="58" formatCode="m/d/yyyy"/>
    </dxf>
    <dxf>
      <font>
        <name val="Cambria"/>
        <scheme val="none"/>
        <b val="0"/>
        <i val="0"/>
        <strike val="0"/>
        <u val="none"/>
        <sz val="11"/>
        <color auto="1"/>
      </font>
    </dxf>
    <dxf>
      <font>
        <name val="Cambria"/>
        <scheme val="none"/>
        <b val="0"/>
        <i val="0"/>
        <strike val="0"/>
        <u val="none"/>
        <sz val="11"/>
        <color auto="1"/>
      </font>
    </dxf>
    <dxf>
      <font>
        <name val="Cambria"/>
        <scheme val="none"/>
        <b val="0"/>
        <i val="0"/>
        <strike val="0"/>
        <u val="none"/>
        <sz val="11"/>
        <color auto="1"/>
      </font>
    </dxf>
    <dxf>
      <font>
        <name val="Cambria"/>
        <scheme val="none"/>
        <b val="0"/>
        <i val="0"/>
        <strike val="0"/>
        <u val="none"/>
        <sz val="11"/>
        <color auto="1"/>
      </font>
    </dxf>
    <dxf>
      <font>
        <name val="Cambria"/>
        <scheme val="none"/>
        <b val="0"/>
        <i val="0"/>
        <strike val="0"/>
        <u val="none"/>
        <sz val="11"/>
        <color auto="1"/>
      </font>
    </dxf>
    <dxf>
      <font>
        <name val="Cambria"/>
        <scheme val="none"/>
        <b val="0"/>
        <i val="0"/>
        <strike val="0"/>
        <u val="none"/>
        <sz val="11"/>
        <color auto="1"/>
      </font>
      <numFmt numFmtId="3" formatCode="#,##0"/>
    </dxf>
    <dxf>
      <font>
        <name val="Cambria"/>
        <scheme val="none"/>
        <b val="0"/>
        <i val="0"/>
        <strike val="0"/>
        <u val="none"/>
        <sz val="11"/>
        <color auto="1"/>
      </font>
      <numFmt numFmtId="3" formatCode="#,##0"/>
    </dxf>
    <dxf>
      <font>
        <name val="Cambria"/>
        <scheme val="none"/>
        <b val="0"/>
        <i val="0"/>
        <strike val="0"/>
        <u val="none"/>
        <sz val="11"/>
        <color auto="1"/>
      </font>
      <numFmt numFmtId="3" formatCode="#,##0"/>
    </dxf>
  </dxfs>
  <tableStyles count="0" defaultTableStyle="TableStyleMedium2" defaultPivotStyle="PivotStyleLight16"/>
  <colors>
    <mruColors>
      <color rgb="008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1.xml"/><Relationship Id="rId8" Type="http://schemas.openxmlformats.org/officeDocument/2006/relationships/pivotCacheDefinition" Target="pivotCache/pivotCacheDefinition2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microsoft.com/office/2007/relationships/slicerCache" Target="slicerCaches/slicerCache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[Test-Assesment-final.xlsx]pivot!PivotTable5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TOP</a:t>
            </a:r>
            <a:r>
              <a:rPr lang="en-US" sz="1600" baseline="0"/>
              <a:t> 10 QTY BY MEMBER ACCOUNT CODE </a:t>
            </a:r>
            <a:endParaRPr lang="en-US" sz="1600"/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pivot!$Q$3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pivot!$P$4:$P$30</c:f>
              <c:strCache>
                <c:ptCount val="26"/>
                <c:pt idx="0">
                  <c:v>05002597</c:v>
                </c:pt>
                <c:pt idx="1">
                  <c:v>20002141</c:v>
                </c:pt>
                <c:pt idx="2">
                  <c:v>39000072</c:v>
                </c:pt>
                <c:pt idx="3">
                  <c:v>60063589</c:v>
                </c:pt>
                <c:pt idx="4">
                  <c:v>60065272</c:v>
                </c:pt>
                <c:pt idx="5">
                  <c:v>22000031</c:v>
                </c:pt>
                <c:pt idx="6">
                  <c:v>60085095</c:v>
                </c:pt>
                <c:pt idx="7">
                  <c:v>13000508</c:v>
                </c:pt>
                <c:pt idx="8">
                  <c:v>60079850</c:v>
                </c:pt>
                <c:pt idx="9">
                  <c:v>60074161</c:v>
                </c:pt>
                <c:pt idx="10">
                  <c:v>22000398</c:v>
                </c:pt>
                <c:pt idx="11">
                  <c:v>60084742</c:v>
                </c:pt>
                <c:pt idx="12">
                  <c:v>24001530</c:v>
                </c:pt>
                <c:pt idx="13">
                  <c:v>60073476</c:v>
                </c:pt>
                <c:pt idx="14">
                  <c:v>20001130</c:v>
                </c:pt>
                <c:pt idx="15">
                  <c:v>60079623</c:v>
                </c:pt>
                <c:pt idx="16">
                  <c:v>60085066</c:v>
                </c:pt>
                <c:pt idx="17">
                  <c:v>60079969</c:v>
                </c:pt>
                <c:pt idx="18">
                  <c:v>MC0000000186</c:v>
                </c:pt>
                <c:pt idx="19">
                  <c:v>60084750</c:v>
                </c:pt>
                <c:pt idx="20">
                  <c:v>20001306</c:v>
                </c:pt>
                <c:pt idx="21">
                  <c:v>09001886</c:v>
                </c:pt>
                <c:pt idx="22">
                  <c:v>60062750</c:v>
                </c:pt>
                <c:pt idx="23">
                  <c:v>08001224</c:v>
                </c:pt>
                <c:pt idx="24">
                  <c:v>PV000303</c:v>
                </c:pt>
                <c:pt idx="25">
                  <c:v>60063583</c:v>
                </c:pt>
              </c:strCache>
            </c:strRef>
          </c:cat>
          <c:val>
            <c:numRef>
              <c:f>pivot!$Q$4:$Q$30</c:f>
              <c:numCache>
                <c:formatCode>General</c:formatCode>
                <c:ptCount val="26"/>
                <c:pt idx="0">
                  <c:v>10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556736"/>
        <c:axId val="97558528"/>
      </c:barChart>
      <c:catAx>
        <c:axId val="9755673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7558528"/>
        <c:crosses val="autoZero"/>
        <c:auto val="1"/>
        <c:lblAlgn val="ctr"/>
        <c:lblOffset val="100"/>
        <c:noMultiLvlLbl val="0"/>
      </c:catAx>
      <c:valAx>
        <c:axId val="97558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7556736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9ef34be-35ed-49a5-8c98-b0d5532f231e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[Test-Assesment-final.xlsx]pivot!PivotTable7</c:name>
    <c:fmtId val="3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TOP</a:t>
            </a:r>
            <a:r>
              <a:rPr lang="en-US" sz="1600" baseline="0"/>
              <a:t> 10 QTY BY ITEM SOLD</a:t>
            </a:r>
            <a:endParaRPr lang="en-US" sz="1600"/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pivot!$W$3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pivot!$V$4:$V$15</c:f>
              <c:strCache>
                <c:ptCount val="11"/>
                <c:pt idx="0">
                  <c:v>18R T SMILE SM PDT16 18-35189432</c:v>
                </c:pt>
                <c:pt idx="1">
                  <c:v>SS BL MNRTTHRT 4MMBDBLTSM-27630146</c:v>
                </c:pt>
                <c:pt idx="2">
                  <c:v>SS MN RTT HRT4MM BD BLTSM-27631886</c:v>
                </c:pt>
                <c:pt idx="3">
                  <c:v>SS BLMNRTTHRT4MMBD BLT XS-63686085</c:v>
                </c:pt>
                <c:pt idx="4">
                  <c:v>SS MN RTT HRT 4MMBD BLTMD-23984024</c:v>
                </c:pt>
                <c:pt idx="5">
                  <c:v>18R PENDANT CHAIN 16IN-25508327</c:v>
                </c:pt>
                <c:pt idx="6">
                  <c:v>SS BL MNRTT 2HRT PDT 16IN-27125107</c:v>
                </c:pt>
                <c:pt idx="7">
                  <c:v>18R PENDANT CHAIN 18IN-25508335</c:v>
                </c:pt>
                <c:pt idx="8">
                  <c:v>18Y T SMILE SM PDT16 18-35189459</c:v>
                </c:pt>
                <c:pt idx="9">
                  <c:v>18W T SMILE SM PDT16 18-35189424</c:v>
                </c:pt>
                <c:pt idx="10">
                  <c:v>18R DI T SMILE SM PDT-63058823</c:v>
                </c:pt>
              </c:strCache>
            </c:strRef>
          </c:cat>
          <c:val>
            <c:numRef>
              <c:f>pivot!$W$4:$W$15</c:f>
              <c:numCache>
                <c:formatCode>General</c:formatCode>
                <c:ptCount val="11"/>
                <c:pt idx="0">
                  <c:v>10</c:v>
                </c:pt>
                <c:pt idx="1">
                  <c:v>7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866880"/>
        <c:axId val="97868416"/>
      </c:barChart>
      <c:catAx>
        <c:axId val="9786688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7868416"/>
        <c:crosses val="autoZero"/>
        <c:auto val="1"/>
        <c:lblAlgn val="ctr"/>
        <c:lblOffset val="100"/>
        <c:noMultiLvlLbl val="0"/>
      </c:catAx>
      <c:valAx>
        <c:axId val="97868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786688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a7acd1b-2fe1-4aad-89ae-0408fdad9013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[Test-Assesment-final.xlsx]pivot!PivotTable6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TOP</a:t>
            </a:r>
            <a:r>
              <a:rPr lang="en-US" sz="1600" baseline="0"/>
              <a:t> 10 AMOUNT BY MEMBER ACCOUNT CODE</a:t>
            </a:r>
            <a:endParaRPr lang="en-US" sz="1600"/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pivot!$T$3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pivot!$S$4:$S$14</c:f>
              <c:strCache>
                <c:ptCount val="10"/>
                <c:pt idx="0">
                  <c:v>23000715</c:v>
                </c:pt>
                <c:pt idx="1">
                  <c:v>60064055</c:v>
                </c:pt>
                <c:pt idx="2">
                  <c:v>99000004</c:v>
                </c:pt>
                <c:pt idx="3">
                  <c:v>22000426</c:v>
                </c:pt>
                <c:pt idx="4">
                  <c:v>60064032</c:v>
                </c:pt>
                <c:pt idx="5">
                  <c:v>60084749</c:v>
                </c:pt>
                <c:pt idx="6">
                  <c:v>08001224</c:v>
                </c:pt>
                <c:pt idx="7">
                  <c:v>MC0000001188</c:v>
                </c:pt>
                <c:pt idx="8">
                  <c:v>16000039</c:v>
                </c:pt>
                <c:pt idx="9">
                  <c:v>20001306</c:v>
                </c:pt>
              </c:strCache>
            </c:strRef>
          </c:cat>
          <c:val>
            <c:numRef>
              <c:f>pivot!$T$4:$T$14</c:f>
              <c:numCache>
                <c:formatCode>_(* #,##0_);_(* \(#,##0\);_(* "-"??_);_(@_)</c:formatCode>
                <c:ptCount val="10"/>
                <c:pt idx="0">
                  <c:v>4097881000</c:v>
                </c:pt>
                <c:pt idx="1">
                  <c:v>2201483000</c:v>
                </c:pt>
                <c:pt idx="2">
                  <c:v>1610268800</c:v>
                </c:pt>
                <c:pt idx="3">
                  <c:v>732926000</c:v>
                </c:pt>
                <c:pt idx="4">
                  <c:v>685989000</c:v>
                </c:pt>
                <c:pt idx="5">
                  <c:v>617390000</c:v>
                </c:pt>
                <c:pt idx="6">
                  <c:v>609900000</c:v>
                </c:pt>
                <c:pt idx="7">
                  <c:v>602949000</c:v>
                </c:pt>
                <c:pt idx="8">
                  <c:v>505466000</c:v>
                </c:pt>
                <c:pt idx="9">
                  <c:v>478388000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906688"/>
        <c:axId val="97908224"/>
      </c:barChart>
      <c:catAx>
        <c:axId val="9790668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7908224"/>
        <c:crosses val="autoZero"/>
        <c:auto val="1"/>
        <c:lblAlgn val="ctr"/>
        <c:lblOffset val="100"/>
        <c:noMultiLvlLbl val="0"/>
      </c:catAx>
      <c:valAx>
        <c:axId val="97908224"/>
        <c:scaling>
          <c:orientation val="minMax"/>
        </c:scaling>
        <c:delete val="0"/>
        <c:axPos val="b"/>
        <c:numFmt formatCode="_(* #,##0_);_(* \(#,##0\);_(* &quot;-&quot;??_);_(@_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7906688"/>
        <c:crosses val="autoZero"/>
        <c:crossBetween val="between"/>
        <c:dispUnits>
          <c:builtInUnit val="millions"/>
          <c:dispUnitsLbl>
            <c:layout/>
            <c:txPr>
              <a:bodyPr rot="0" spcFirstLastPara="0" vertOverflow="ellipsis" vert="horz" wrap="square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</c:plotArea>
    <c:plotVisOnly val="1"/>
    <c:dispBlanksAs val="gap"/>
    <c:showDLblsOverMax val="0"/>
    <c:extLst>
      <c:ext uri="{0b15fc19-7d7d-44ad-8c2d-2c3a37ce22c3}">
        <chartProps xmlns="https://web.wps.cn/et/2018/main" chartId="{43b92e51-aa57-4047-9320-332b9bc22781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[Test-Assesment-final.xlsx]pivot!PivotTable8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TOP</a:t>
            </a:r>
            <a:r>
              <a:rPr lang="en-US" sz="1600" baseline="0"/>
              <a:t> 10 AMOUNT BY ITEM SOLD</a:t>
            </a:r>
            <a:endParaRPr lang="en-US" sz="1600"/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pivot!$Z$3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pivot!$Y$4:$Y$14</c:f>
              <c:strCache>
                <c:ptCount val="10"/>
                <c:pt idx="0">
                  <c:v>PT RD DI 2 65 D VVS1-70168111</c:v>
                </c:pt>
                <c:pt idx="1">
                  <c:v>PT RD DI 2 03 F VVS1-69252907</c:v>
                </c:pt>
                <c:pt idx="2">
                  <c:v>18Y CUDI2 24FV VVS2-63727164</c:v>
                </c:pt>
                <c:pt idx="3">
                  <c:v>PT RD DI 1 31 F VS1-69029906</c:v>
                </c:pt>
                <c:pt idx="4">
                  <c:v>PT CU DI 1 12 G VVS1-68800889</c:v>
                </c:pt>
                <c:pt idx="5">
                  <c:v>PT RD DI 1 21 E VS2-69029752</c:v>
                </c:pt>
                <c:pt idx="6">
                  <c:v>18RHALFDIT1WDHNGBGLMD-67792858</c:v>
                </c:pt>
                <c:pt idx="7">
                  <c:v>18RHLFDIT1NRWHNGBGLMD-68315786</c:v>
                </c:pt>
                <c:pt idx="8">
                  <c:v>PT RD DI 1 09 F VS1-69031420</c:v>
                </c:pt>
                <c:pt idx="9">
                  <c:v>PT RDDI 91 G VS1-66866815</c:v>
                </c:pt>
              </c:strCache>
            </c:strRef>
          </c:cat>
          <c:val>
            <c:numRef>
              <c:f>pivot!$Z$4:$Z$14</c:f>
              <c:numCache>
                <c:formatCode>_(* #,##0_);_(* \(#,##0\);_(* "-"??_);_(@_)</c:formatCode>
                <c:ptCount val="10"/>
                <c:pt idx="0">
                  <c:v>4097881000</c:v>
                </c:pt>
                <c:pt idx="1">
                  <c:v>2130176000</c:v>
                </c:pt>
                <c:pt idx="2">
                  <c:v>1610268800</c:v>
                </c:pt>
                <c:pt idx="3">
                  <c:v>685989000</c:v>
                </c:pt>
                <c:pt idx="4">
                  <c:v>617390000</c:v>
                </c:pt>
                <c:pt idx="5">
                  <c:v>602949000</c:v>
                </c:pt>
                <c:pt idx="6">
                  <c:v>572260000</c:v>
                </c:pt>
                <c:pt idx="7">
                  <c:v>570454000</c:v>
                </c:pt>
                <c:pt idx="8">
                  <c:v>505466000</c:v>
                </c:pt>
                <c:pt idx="9">
                  <c:v>388126000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618944"/>
        <c:axId val="97633024"/>
      </c:barChart>
      <c:catAx>
        <c:axId val="97618944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7633024"/>
        <c:crosses val="autoZero"/>
        <c:auto val="1"/>
        <c:lblAlgn val="ctr"/>
        <c:lblOffset val="100"/>
        <c:noMultiLvlLbl val="0"/>
      </c:catAx>
      <c:valAx>
        <c:axId val="97633024"/>
        <c:scaling>
          <c:orientation val="minMax"/>
        </c:scaling>
        <c:delete val="0"/>
        <c:axPos val="b"/>
        <c:numFmt formatCode="_(* #,##0_);_(* \(#,##0\);_(* &quot;-&quot;??_);_(@_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7618944"/>
        <c:crosses val="autoZero"/>
        <c:crossBetween val="between"/>
        <c:dispUnits>
          <c:builtInUnit val="millions"/>
          <c:dispUnitsLbl>
            <c:layout/>
            <c:txPr>
              <a:bodyPr rot="0" spcFirstLastPara="0" vertOverflow="ellipsis" vert="horz" wrap="square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</c:plotArea>
    <c:plotVisOnly val="1"/>
    <c:dispBlanksAs val="gap"/>
    <c:showDLblsOverMax val="0"/>
    <c:extLst>
      <c:ext uri="{0b15fc19-7d7d-44ad-8c2d-2c3a37ce22c3}">
        <chartProps xmlns="https://web.wps.cn/et/2018/main" chartId="{191f1d04-9ee0-438c-865d-d5bdb0ead30d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[Test-Assesment-final.xlsx]Sales by scheme!PivotTable2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SALES</a:t>
            </a:r>
            <a:r>
              <a:rPr lang="en-US" sz="1600" baseline="0"/>
              <a:t> AMOUNT BY SCHEME NAME</a:t>
            </a:r>
            <a:endParaRPr lang="en-US" sz="1600"/>
          </a:p>
        </c:rich>
      </c:tx>
      <c:layout>
        <c:manualLayout>
          <c:xMode val="edge"/>
          <c:yMode val="edge"/>
          <c:x val="0.3175"/>
          <c:y val="0.031386701662292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by scheme'!$B$3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'Sales by scheme'!$A$4:$A$5</c:f>
              <c:strCache>
                <c:ptCount val="1"/>
                <c:pt idx="0">
                  <c:v>MEMBER</c:v>
                </c:pt>
              </c:strCache>
            </c:strRef>
          </c:cat>
          <c:val>
            <c:numRef>
              <c:f>'Sales by scheme'!$B$4:$B$5</c:f>
              <c:numCache>
                <c:formatCode>_(* #,##0_);_(* \(#,##0\);_(* "-"??_);_(@_)</c:formatCode>
                <c:ptCount val="1"/>
                <c:pt idx="0">
                  <c:v>557747000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7930624"/>
        <c:axId val="97936512"/>
      </c:lineChart>
      <c:catAx>
        <c:axId val="979306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7936512"/>
        <c:crosses val="autoZero"/>
        <c:auto val="1"/>
        <c:lblAlgn val="ctr"/>
        <c:lblOffset val="100"/>
        <c:noMultiLvlLbl val="0"/>
      </c:catAx>
      <c:valAx>
        <c:axId val="97936512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7930624"/>
        <c:crosses val="autoZero"/>
        <c:crossBetween val="between"/>
        <c:dispUnits>
          <c:builtInUnit val="millions"/>
          <c:dispUnitsLbl>
            <c:layout/>
            <c:txPr>
              <a:bodyPr rot="-5400000" spcFirstLastPara="0" vertOverflow="ellipsis" vert="horz" wrap="square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aeb846ed-be39-4f74-9269-f038116f69e6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[Test-Assesment-final.xlsx]sales by month!PivotTable2</c:name>
    <c:fmtId val="9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SALES</a:t>
            </a:r>
            <a:r>
              <a:rPr lang="en-US" sz="1600" baseline="0"/>
              <a:t> AMOUNT BY MONTH</a:t>
            </a:r>
            <a:endParaRPr lang="en-US" sz="1600"/>
          </a:p>
        </c:rich>
      </c:tx>
      <c:layout>
        <c:manualLayout>
          <c:xMode val="edge"/>
          <c:yMode val="edge"/>
          <c:x val="0.328733438605012"/>
          <c:y val="0.031386523280002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by month'!$B$3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'sales by month'!$A$4:$A$5</c:f>
              <c:strCache>
                <c:ptCount val="1"/>
                <c:pt idx="0">
                  <c:v>Tháng 6</c:v>
                </c:pt>
              </c:strCache>
            </c:strRef>
          </c:cat>
          <c:val>
            <c:numRef>
              <c:f>'sales by month'!$B$4:$B$5</c:f>
              <c:numCache>
                <c:formatCode>_(* #,##0_);_(* \(#,##0\);_(* "-"??_);_(@_)</c:formatCode>
                <c:ptCount val="1"/>
                <c:pt idx="0">
                  <c:v>557747000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7958528"/>
        <c:axId val="97980800"/>
      </c:lineChart>
      <c:catAx>
        <c:axId val="979585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7980800"/>
        <c:crosses val="autoZero"/>
        <c:auto val="1"/>
        <c:lblAlgn val="ctr"/>
        <c:lblOffset val="100"/>
        <c:noMultiLvlLbl val="0"/>
      </c:catAx>
      <c:valAx>
        <c:axId val="97980800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7958528"/>
        <c:crosses val="autoZero"/>
        <c:crossBetween val="between"/>
        <c:dispUnits>
          <c:builtInUnit val="millions"/>
          <c:dispUnitsLbl>
            <c:layout/>
            <c:txPr>
              <a:bodyPr rot="-5400000" spcFirstLastPara="0" vertOverflow="ellipsis" vert="horz" wrap="square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</c:plotArea>
    <c:plotVisOnly val="1"/>
    <c:dispBlanksAs val="gap"/>
    <c:showDLblsOverMax val="0"/>
    <c:extLst>
      <c:ext uri="{0b15fc19-7d7d-44ad-8c2d-2c3a37ce22c3}">
        <chartProps xmlns="https://web.wps.cn/et/2018/main" chartId="{4f981170-a96c-4163-a09c-e77054d66e72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[Test-Assesment-final.xlsx]Sales by scheme!PivotTable2</c:name>
    <c:fmtId val="3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SALES</a:t>
            </a:r>
            <a:r>
              <a:rPr lang="en-US" sz="1600" baseline="0"/>
              <a:t> AMOUNT BY SCHEME NAME</a:t>
            </a:r>
            <a:endParaRPr lang="en-US" sz="1600"/>
          </a:p>
        </c:rich>
      </c:tx>
      <c:layout>
        <c:manualLayout>
          <c:xMode val="edge"/>
          <c:yMode val="edge"/>
          <c:x val="0.3175"/>
          <c:y val="0.031386701662292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by scheme'!$B$3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'Sales by scheme'!$A$4:$A$5</c:f>
              <c:strCache>
                <c:ptCount val="1"/>
                <c:pt idx="0">
                  <c:v>MEMBER</c:v>
                </c:pt>
              </c:strCache>
            </c:strRef>
          </c:cat>
          <c:val>
            <c:numRef>
              <c:f>'Sales by scheme'!$B$4:$B$5</c:f>
              <c:numCache>
                <c:formatCode>_(* #,##0_);_(* \(#,##0\);_(* "-"??_);_(@_)</c:formatCode>
                <c:ptCount val="1"/>
                <c:pt idx="0">
                  <c:v>557747000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6903936"/>
        <c:axId val="96905472"/>
      </c:lineChart>
      <c:catAx>
        <c:axId val="96903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6905472"/>
        <c:crosses val="autoZero"/>
        <c:auto val="1"/>
        <c:lblAlgn val="ctr"/>
        <c:lblOffset val="100"/>
        <c:noMultiLvlLbl val="0"/>
      </c:catAx>
      <c:valAx>
        <c:axId val="9690547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6903936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2859c52-716c-46d9-a290-f285933bf73c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[Test-Assesment-final.xlsx]sales by month!PivotTable2</c:name>
    <c:fmtId val="7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SALES</a:t>
            </a:r>
            <a:r>
              <a:rPr lang="en-US" sz="1600" baseline="0"/>
              <a:t> AMOUNT BY MONTH</a:t>
            </a:r>
            <a:endParaRPr lang="en-US" sz="1600"/>
          </a:p>
        </c:rich>
      </c:tx>
      <c:layout>
        <c:manualLayout>
          <c:xMode val="edge"/>
          <c:yMode val="edge"/>
          <c:x val="0.3175"/>
          <c:y val="0.031386701662292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by month'!$B$3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'sales by month'!$A$4:$A$5</c:f>
              <c:strCache>
                <c:ptCount val="1"/>
                <c:pt idx="0">
                  <c:v>Tháng 6</c:v>
                </c:pt>
              </c:strCache>
            </c:strRef>
          </c:cat>
          <c:val>
            <c:numRef>
              <c:f>'sales by month'!$B$4:$B$5</c:f>
              <c:numCache>
                <c:formatCode>_(* #,##0_);_(* \(#,##0\);_(* "-"??_);_(@_)</c:formatCode>
                <c:ptCount val="1"/>
                <c:pt idx="0">
                  <c:v>557747000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7055872"/>
        <c:axId val="97057408"/>
      </c:lineChart>
      <c:catAx>
        <c:axId val="970558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7057408"/>
        <c:crosses val="autoZero"/>
        <c:auto val="1"/>
        <c:lblAlgn val="ctr"/>
        <c:lblOffset val="100"/>
        <c:noMultiLvlLbl val="0"/>
      </c:catAx>
      <c:valAx>
        <c:axId val="97057408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7055872"/>
        <c:crosses val="autoZero"/>
        <c:crossBetween val="between"/>
        <c:dispUnits>
          <c:builtInUnit val="billions"/>
          <c:dispUnitsLbl>
            <c:layout/>
            <c:txPr>
              <a:bodyPr rot="-5400000" spcFirstLastPara="0" vertOverflow="ellipsis" vert="horz" wrap="square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</c:plotArea>
    <c:plotVisOnly val="1"/>
    <c:dispBlanksAs val="gap"/>
    <c:showDLblsOverMax val="0"/>
    <c:extLst>
      <c:ext uri="{0b15fc19-7d7d-44ad-8c2d-2c3a37ce22c3}">
        <chartProps xmlns="https://web.wps.cn/et/2018/main" chartId="{55bf5964-fd56-4676-b22a-12bab74c8adf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593911</xdr:colOff>
      <xdr:row>1</xdr:row>
      <xdr:rowOff>0</xdr:rowOff>
    </xdr:from>
    <xdr:to>
      <xdr:col>15</xdr:col>
      <xdr:colOff>158439</xdr:colOff>
      <xdr:row>16</xdr:row>
      <xdr:rowOff>100853</xdr:rowOff>
    </xdr:to>
    <xdr:graphicFrame>
      <xdr:nvGraphicFramePr>
        <xdr:cNvPr id="2" name="Chart 1"/>
        <xdr:cNvGraphicFramePr/>
      </xdr:nvGraphicFramePr>
      <xdr:xfrm>
        <a:off x="11416665" y="535305"/>
        <a:ext cx="5010150" cy="50209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593911</xdr:colOff>
      <xdr:row>16</xdr:row>
      <xdr:rowOff>112061</xdr:rowOff>
    </xdr:from>
    <xdr:to>
      <xdr:col>15</xdr:col>
      <xdr:colOff>156883</xdr:colOff>
      <xdr:row>37</xdr:row>
      <xdr:rowOff>22411</xdr:rowOff>
    </xdr:to>
    <xdr:graphicFrame>
      <xdr:nvGraphicFramePr>
        <xdr:cNvPr id="3" name="Chart 2"/>
        <xdr:cNvGraphicFramePr/>
      </xdr:nvGraphicFramePr>
      <xdr:xfrm>
        <a:off x="11416665" y="5567680"/>
        <a:ext cx="5008880" cy="3710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190499</xdr:colOff>
      <xdr:row>16</xdr:row>
      <xdr:rowOff>112058</xdr:rowOff>
    </xdr:from>
    <xdr:to>
      <xdr:col>35</xdr:col>
      <xdr:colOff>224118</xdr:colOff>
      <xdr:row>37</xdr:row>
      <xdr:rowOff>22411</xdr:rowOff>
    </xdr:to>
    <xdr:graphicFrame>
      <xdr:nvGraphicFramePr>
        <xdr:cNvPr id="4" name="Chart 3"/>
        <xdr:cNvGraphicFramePr/>
      </xdr:nvGraphicFramePr>
      <xdr:xfrm>
        <a:off x="22726015" y="5567680"/>
        <a:ext cx="6301105" cy="3710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168089</xdr:colOff>
      <xdr:row>16</xdr:row>
      <xdr:rowOff>112057</xdr:rowOff>
    </xdr:from>
    <xdr:to>
      <xdr:col>25</xdr:col>
      <xdr:colOff>191745</xdr:colOff>
      <xdr:row>37</xdr:row>
      <xdr:rowOff>21420</xdr:rowOff>
    </xdr:to>
    <xdr:graphicFrame>
      <xdr:nvGraphicFramePr>
        <xdr:cNvPr id="5" name="Chart 4"/>
        <xdr:cNvGraphicFramePr/>
      </xdr:nvGraphicFramePr>
      <xdr:xfrm>
        <a:off x="16436340" y="5567680"/>
        <a:ext cx="6290945" cy="37096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156882</xdr:colOff>
      <xdr:row>1</xdr:row>
      <xdr:rowOff>11206</xdr:rowOff>
    </xdr:from>
    <xdr:to>
      <xdr:col>32</xdr:col>
      <xdr:colOff>56030</xdr:colOff>
      <xdr:row>6</xdr:row>
      <xdr:rowOff>201706</xdr:rowOff>
    </xdr:to>
    <xdr:graphicFrame>
      <xdr:nvGraphicFramePr>
        <xdr:cNvPr id="6" name="Chart 5"/>
        <xdr:cNvGraphicFramePr/>
      </xdr:nvGraphicFramePr>
      <xdr:xfrm>
        <a:off x="16425545" y="546100"/>
        <a:ext cx="10553700" cy="2234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168087</xdr:colOff>
      <xdr:row>6</xdr:row>
      <xdr:rowOff>212912</xdr:rowOff>
    </xdr:from>
    <xdr:to>
      <xdr:col>32</xdr:col>
      <xdr:colOff>56030</xdr:colOff>
      <xdr:row>16</xdr:row>
      <xdr:rowOff>100853</xdr:rowOff>
    </xdr:to>
    <xdr:graphicFrame>
      <xdr:nvGraphicFramePr>
        <xdr:cNvPr id="7" name="Chart 6"/>
        <xdr:cNvGraphicFramePr/>
      </xdr:nvGraphicFramePr>
      <xdr:xfrm>
        <a:off x="16436340" y="2792095"/>
        <a:ext cx="10542905" cy="27641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32</xdr:col>
      <xdr:colOff>74519</xdr:colOff>
      <xdr:row>6</xdr:row>
      <xdr:rowOff>190500</xdr:rowOff>
    </xdr:from>
    <xdr:to>
      <xdr:col>35</xdr:col>
      <xdr:colOff>235323</xdr:colOff>
      <xdr:row>16</xdr:row>
      <xdr:rowOff>94690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Scheme 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cheme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997660" y="2769870"/>
              <a:ext cx="2040890" cy="27806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32</xdr:col>
      <xdr:colOff>80121</xdr:colOff>
      <xdr:row>1</xdr:row>
      <xdr:rowOff>11207</xdr:rowOff>
    </xdr:from>
    <xdr:to>
      <xdr:col>35</xdr:col>
      <xdr:colOff>212911</xdr:colOff>
      <xdr:row>6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Tháng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háng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003375" y="546100"/>
              <a:ext cx="2012950" cy="21951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2</xdr:col>
      <xdr:colOff>100853</xdr:colOff>
      <xdr:row>16</xdr:row>
      <xdr:rowOff>112059</xdr:rowOff>
    </xdr:from>
    <xdr:to>
      <xdr:col>2</xdr:col>
      <xdr:colOff>974913</xdr:colOff>
      <xdr:row>18</xdr:row>
      <xdr:rowOff>56030</xdr:rowOff>
    </xdr:to>
    <xdr:sp>
      <xdr:nvSpPr>
        <xdr:cNvPr id="10" name="Right Arrow 9"/>
        <xdr:cNvSpPr/>
      </xdr:nvSpPr>
      <xdr:spPr>
        <a:xfrm>
          <a:off x="3577590" y="5567680"/>
          <a:ext cx="874395" cy="30607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1624853</xdr:colOff>
      <xdr:row>0</xdr:row>
      <xdr:rowOff>56029</xdr:rowOff>
    </xdr:from>
    <xdr:to>
      <xdr:col>35</xdr:col>
      <xdr:colOff>201706</xdr:colOff>
      <xdr:row>0</xdr:row>
      <xdr:rowOff>526676</xdr:rowOff>
    </xdr:to>
    <xdr:sp>
      <xdr:nvSpPr>
        <xdr:cNvPr id="11" name="Rounded Rectangle 10"/>
        <xdr:cNvSpPr/>
      </xdr:nvSpPr>
      <xdr:spPr>
        <a:xfrm>
          <a:off x="13074015" y="55880"/>
          <a:ext cx="15930880" cy="470535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>
              <a:solidFill>
                <a:schemeClr val="tx1"/>
              </a:solidFill>
            </a:rPr>
            <a:t>SALES DASH</a:t>
          </a:r>
          <a:r>
            <a:rPr lang="en-US" sz="2800" baseline="0">
              <a:solidFill>
                <a:schemeClr val="tx1"/>
              </a:solidFill>
            </a:rPr>
            <a:t>BOARD </a:t>
          </a:r>
          <a:endParaRPr lang="en-US" sz="28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257175</xdr:colOff>
      <xdr:row>8</xdr:row>
      <xdr:rowOff>52387</xdr:rowOff>
    </xdr:from>
    <xdr:to>
      <xdr:col>17</xdr:col>
      <xdr:colOff>142875</xdr:colOff>
      <xdr:row>22</xdr:row>
      <xdr:rowOff>128587</xdr:rowOff>
    </xdr:to>
    <xdr:graphicFrame>
      <xdr:nvGraphicFramePr>
        <xdr:cNvPr id="3" name="Chart 2"/>
        <xdr:cNvGraphicFramePr/>
      </xdr:nvGraphicFramePr>
      <xdr:xfrm>
        <a:off x="3616960" y="1515110"/>
        <a:ext cx="790956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333375</xdr:colOff>
      <xdr:row>2</xdr:row>
      <xdr:rowOff>142875</xdr:rowOff>
    </xdr:from>
    <xdr:to>
      <xdr:col>16</xdr:col>
      <xdr:colOff>9525</xdr:colOff>
      <xdr:row>18</xdr:row>
      <xdr:rowOff>104774</xdr:rowOff>
    </xdr:to>
    <xdr:graphicFrame>
      <xdr:nvGraphicFramePr>
        <xdr:cNvPr id="2" name="Chart 1"/>
        <xdr:cNvGraphicFramePr/>
      </xdr:nvGraphicFramePr>
      <xdr:xfrm>
        <a:off x="3693160" y="508635"/>
        <a:ext cx="7082790" cy="2887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freshedDate="44774.8636898148" refreshedBy="Admin" recordCount="495">
  <cacheSource type="worksheet">
    <worksheetSource ref="A1:J496" sheet="Raw data"/>
  </cacheSource>
  <cacheFields count="9">
    <cacheField name="Date" numFmtId="58"/>
    <cacheField name="Scheme Name" numFmtId="0">
      <sharedItems count="7">
        <s v="PLATINUM"/>
        <s v="MEMBER"/>
        <s v="GOLD"/>
        <s v="TEMP"/>
        <s v="BOD"/>
        <s v="NEW"/>
        <s v="STAFF"/>
      </sharedItems>
    </cacheField>
    <cacheField name="Store Name" numFmtId="0"/>
    <cacheField name="Item Name" numFmtId="0">
      <sharedItems count="339">
        <s v="SS RED RTTMN2HRTPDT1618IN-63520594"/>
        <s v="18R DI XMN HRT PDT-61101195"/>
        <s v="SS MN RTT HRT4MM BD BLTSM-27631886"/>
        <s v="18R DI LVGHRT WIRE BLT SM-60963673"/>
        <s v="18R T TRUE NRW RG 5 5-63065226"/>
        <s v="18R T TRUE NRW RG 7-63065285"/>
        <s v="18W DI T WIRE BLT MD-33263473"/>
        <s v="SS BL MNRTTHRT 4MMBDBLTMD-26659604"/>
        <s v="SS PK MNRTTHRT4MMBDBLTMD-30978811"/>
        <s v="SS PK MNRT HRT 4MMBDBLTSM-30978838"/>
        <s v="SS RD RTTMNHRT 4MMBDBLTMD-61941797"/>
        <s v="18R DI T WIRE RG 6 5-35007857"/>
        <s v="18RDI SMRD PRCD ATL PDT16-30480554"/>
        <s v="18W DI TURQ T WIRE RG 5-64028103"/>
        <s v="18R T TWO CHN DBL BLT SM-62355417"/>
        <s v="18R LG DI DAISY KEY-26887623"/>
        <s v="18R PENDANT CHAIN 16IN-25508327"/>
        <s v="CLRBLK PIGGYBANK ERTHNWRE-60559961"/>
        <s v="SS MD PDT CHAIN 18IN-33484038"/>
        <s v="18WDI T SMILE MN PDT1618-62617802"/>
        <s v="18R HLFDI T1 NRWRG6 5-67795377"/>
        <s v="18R DI TCO 3MM RG 6-27897908"/>
        <s v="18R TCO 3MM RG 7-33026617"/>
        <s v="SS BL MN RTT 2HRT PDT 18-30210417"/>
        <s v="18R DI SM HEART KEY-62859954"/>
        <s v="SS HW MD 19MM WRAP NL36IN-62611928"/>
        <s v="TTN BLK 1837 NRW RG 7 5-25923677"/>
        <s v="TTN BLK 1837 NRW RG 7-25923669"/>
        <s v="SS 1837 NRW BASC RG 5 5-22993763"/>
        <s v="SS 1837 NRRW CUFF MD-22992422"/>
        <s v="SS 1837 INTLK SM PDT 16IN-22992139"/>
        <s v="SS HPKMNRTTHRT4MMBDBLTXS-63686115"/>
        <s v="18RSSRTTLADYBUGPDTADJ1618-67070526"/>
        <s v="18R T SMILE PDT LG 1618IN-33637152"/>
        <s v="18R DI MOP T WIRE RG 6-64027921"/>
        <s v="18R T SMILE SM BLT MD-36667281"/>
        <s v="18R MOP T TWO CL ER-66886042"/>
        <s v="18R T1 NRW HNG BGL MD-67794346"/>
        <s v="SS PINK MN RTT 2HRT PDT16-28751249"/>
        <s v="18R DI 13 CROWN KEY-25460979"/>
        <s v="18R PENDANT CHAIN 18IN-25508335"/>
        <s v="18RDI RD MN SGLRW SLST ER-60987491"/>
        <s v="18R TCO 4MM RG 9-35249907"/>
        <s v="18W DI MD ATLPRCDRG 7-35102272"/>
        <s v="18W DI MD ATLPRCDRG 8-35102256"/>
        <s v="SS RTT HRT TAG BLT 7 5IN-18967529"/>
        <s v="18Y GRAFFITI X MN ER-60962316"/>
        <s v="18R T SMILE ER-36667249"/>
        <s v="18R SM 1837INTLK PDT16IN-35672087"/>
        <s v="MD SQ JWLRY CASE LEA TFBL-60883300"/>
        <s v="18R SM LVG HEART PDT16IN-34614598"/>
        <s v="18Y SM LVG HEART PDT16IN-34595828"/>
        <s v="18R HW BALL 10MM HOOK ER-38172816"/>
        <s v="18R HWBALL12 75MMPDT18 20-38096818"/>
        <s v="18RDIACNT MDFLEURDELISKEY-60764379"/>
        <s v="SS 1837 INTLK SM PDT 18IN-30319575"/>
        <s v="18R DI T SMILE LG PDT1618-63104981"/>
        <s v="18R T WIRE BAR ER-62271884"/>
        <s v="18R MN LVG HEART PDT16IN-34614555"/>
        <s v="18R HW MEDIUM LINK BLT SM-39991586"/>
        <s v="ST BLK T SQR BLT LG-36618159"/>
        <s v="18R T SMILE SM BLT SM-36819553"/>
        <s v="18R T SMILE XLPDT1618-67513436"/>
        <s v="PT CU DI 1 12 G VVS1-68800889"/>
        <s v="18RDI MD ORNFLEURDLISKEY-60660069"/>
        <s v="18R HLFDI T1 NRWRG6-67795350"/>
        <s v="18RHLFDIT1NRWHNGBGLMD-68315786"/>
        <s v="18RDI MOP TTWOSMCLPDT1618-67467582"/>
        <s v="PT DI XMN HRT ER-61101268"/>
        <s v="PT18Y CUDI 69FI-63729191"/>
        <s v="18R MN HEART KEY-24464733"/>
        <s v="SS OLVLF NRW CUFF MD-31862949"/>
        <s v="18W T SMILE SM PDT16 18-35189424"/>
        <s v="18R ONYX T WIRE BLT SM-64028669"/>
        <s v="18R ONYX T WIRE RG 4 5-64027425"/>
        <s v="18RDIONYX T TWO CLPDT1618-64026992"/>
        <s v="SS EXEC TCLIP TB BRS BPEN-37361399"/>
        <s v="TFTRAVEL LTH PSPT CVR BLK-62205245"/>
        <s v="TFTRAVL LTH PSPT CVR TFBL-62271531"/>
        <s v="18R DI BG T SQR PDT 16 18-62996021"/>
        <s v="18Y DI OPEN RD MN KEY-62230126"/>
        <s v="18Y PENDANT CHAIN 16IN-21921394"/>
        <s v="18R DI MOP T WIRE BLT SM-64028596"/>
        <s v="18W DI SM ATL PRCD KEY-35252975"/>
        <s v="PT 16IN CHAIN-21803642"/>
        <s v="SS18RRTTLADYBUGCHNBLTXSSM-67071492"/>
        <s v="SS BL MNRTT 2HRT PDT 16IN-27125107"/>
        <s v="18Y DI SM ATL PRCD KEY-35252991"/>
        <s v="18R OLVLF EAR CLIMBER ER-60702586"/>
        <s v="SS RTT LV HRT KEY BLT SM-36812591"/>
        <s v="SS BL MNRTTHRT 4MMBDBLTSM-27630146"/>
        <s v="18W TURQ T WIRE BLT MD-64028952"/>
        <s v="PT DI 61TW TIF SLST ER-28646453"/>
        <s v="18R MD T WIRE BANGLE LG-33419767"/>
        <s v="PT DI MDRBORNFLEURDLISKEY-60660026"/>
        <s v="18R DI MN VICTORIA KEY-62867019"/>
        <s v="PTDI TIFESN DBMG 4MM 6-27897711"/>
        <s v="PTDI TIFESN DBMG 4MM 7 5-27897754"/>
        <s v="SS MINI RTT HEART STUD ER-23900564"/>
        <s v="18R T WIRE BLT MD-33263465"/>
        <s v="SS SM RTT HRTTG BD BLT XS-67127625"/>
        <s v="18W T TWO DI NRW RG 5-36815884"/>
        <s v="18W T TWO NRW RG 7 5-36815264"/>
        <s v="SS BLMNRTTHRT4MMBD BLT XS-63686085"/>
        <s v="18W DI T SMILE SM BLT MD-36667192"/>
        <s v="SS MN 1837 INTLK BLT ADJ-35505903"/>
        <s v="18R DI T WIRE FC RING 6 5-34901538"/>
        <s v="PT VICT SM DI ER-11833187"/>
        <s v="18R DI .03TW T SMILE MN PDT-63843385"/>
        <s v="18Y DI 13 CROWN KEY-25524942"/>
        <s v="SS RTT MN HRT DGLRG 4 5-35243593"/>
        <s v="SS RTT MINI 2 HRT PDT16IN-22309307"/>
        <s v="18W T TWO DI NRW RG 4 5-36815906"/>
        <s v="18W T TWO DI NRW RG 7 5-36815876"/>
        <s v="18R OLVLF NRW BD RG 6-32080553"/>
        <s v="SS MN RTTL BLHRTBD BLT SM-61002421"/>
        <s v="18R GRAFFITI X MN ER-60962332"/>
        <s v="PT RDDI 40TW F VVS2 VVS2-69142087"/>
        <s v="ST BLK T SQR BLT MD-36537973"/>
        <s v="CLRBLK LUGGAGE TAG-60927626"/>
        <s v="PT DI LG VIC PDT-14743715"/>
        <s v="PT VICT MD DI ER-25169328"/>
        <s v="18R NRW T WIRE RG 5 5-33418868"/>
        <s v="18R T SMILE SM PDT16 18-35189432"/>
        <s v="PT18Y CUDI 42FY DB RG-34686769"/>
        <s v="18Y DI T SMILE SM PDT-63058785"/>
        <s v="18Y T SMILE PDT LG 1618IN-33637179"/>
        <s v="CLRBLK ZIP MULTFN WLT LEA-60939764"/>
        <s v="SS EXEC TCLIP BLK BRS BP-37361348"/>
        <s v="SS MDRTT HRT TGKEY PDT16-26909686"/>
        <s v="18R T TWO DI NRW RG 4 5-36821469"/>
        <s v="18R T TWO NRW RG 9-36820632"/>
        <s v="SS 1837 NRW BASC RG 6-22993771"/>
        <s v="PT RD DI 1 31 F VS1-69029906"/>
        <s v="18R DI T WIRE RG 5 5-35007903"/>
        <s v="18RDI TCO 4MM RG 8 5-33133111"/>
        <s v="BEAR &amp; BLOCK 3PC CHINASET-60559880"/>
        <s v="PT DI TCO 4MM RG 9 5-33130775"/>
        <s v="18R GRAFFITI X SM ER-61912606"/>
        <s v="18Y TURQ T WIRE BLT SM-64028855"/>
        <s v="18Y TURQ T WIRE RG 4 5-64027654"/>
        <s v="18Y HW MEDIUM LINK NL18IN-38086758"/>
        <s v="PT DI TIF EMB 3 HC RG6 5-16026301"/>
        <s v="PT DI MINI TF CIRCLET ER-23954141"/>
        <s v="SS MAKERS CUFF SM-63449121"/>
        <s v="18W DI T SMILE ER-36667168"/>
        <s v="18Y T SMILE SM PDT16 18-35189459"/>
        <s v="18Y DI MN VICTORIA KEY-62866950"/>
        <s v="18Y DI T WIRE RG 5 5-35008187"/>
        <s v="18Y PENDANT CHAIN 18IN-21921386"/>
        <s v="18Y MN LVG HEART PDT16IN-34595771"/>
        <s v="18R T1 NRW RG6-67797396"/>
        <s v="SS MN RTTL BLUE HRT ER-60994862"/>
        <s v="CLR BLK PSSPRT CVR GRNLEA-60927596"/>
        <s v="18W DI TURQ T WIRE RG 5 5-64028138"/>
        <s v="18R TFHARMONY 3MM RG4 5-33419252"/>
        <s v="18R TFHARMONY 3MM RG6-33419139"/>
        <s v="SS HW GRAD LINK NL 18IN-38086898"/>
        <s v="SS HW LINK ER-38087959"/>
        <s v="SS HW MD 19MM WRAP BRACELET-61699309"/>
        <s v="18RHLFDIT1NRWHNGBGLSM-68315751"/>
        <s v="SS OLVLF EAR CLIMBER ER-60702527"/>
        <s v="SS RD RTTMNHRT 4MMBDBLTSM-61941770"/>
        <s v="SS SM RTT HRT BLT SM-29668086"/>
        <s v="18RDI TCO 4MM RG 7 5-33133162"/>
        <s v="18RDI TCO 4MM RG 8-33133014"/>
        <s v="18R T TWO DI PAVE NRW 6 5-36822325"/>
        <s v="18Y DI T WIRE BLT MD-35065717"/>
        <s v="18R DI DBL LVG HRT ER-63062529"/>
        <s v="18R DI TCO 3MM RG 5-27897886"/>
        <s v="18RDI TCO 4MM RG 6 5-33132999"/>
        <s v="PT DI RD SGLRW SLST PDT-60572852"/>
        <s v="SS 1837 NRW CUFF SM-31417767"/>
        <s v="SS MAKERS CUFF MD-63526894"/>
        <s v="CLRBK FLAPCNT WLT GRNLEA-60883416"/>
        <s v="SS MN RTT HRT 4MMBD BLTLG-24711781"/>
        <s v="PT DI PS TNZ 10X7SLST PDT-29137102"/>
        <s v="PTDI RD BLSA 5MM SLST ER-31176409"/>
        <s v="SS RTT HRT KEY PDTADJ1618-36812613"/>
        <s v="18R HLFDI T1 NRWRG5-67795318"/>
        <s v="18R T TWO NRW RG 6 5-36820608"/>
        <s v="18R NRW T WIRE RG 6-33418876"/>
        <s v="18R T TWO MD RG 6 5-36509228"/>
        <s v="18Y MN LVG HEART BLT SM-34614563"/>
        <s v="CLRBLK MN VIDEPOCHE PORS4-60570108"/>
        <s v="SS PKMNRTTHRT 4MMBD BLTXS-63520543"/>
        <s v="SSMNRTTHRT4MMBDBLTXS-63686131"/>
        <s v="SS HW MEDIUM LINK BLT SM-39991608"/>
        <s v="18R DI T SMILE SM BLT SM-36819588"/>
        <s v="18W DI T SMILE SM BLT SM-36819634"/>
        <s v="18W DI T WIRE BLT SM-33450915"/>
        <s v="18R ATLS X CLSD INTRLCKPDT161-67789237"/>
        <s v="18R DI SM OPN CRCL PDT 16-60573204"/>
        <s v="SS18Y MAKERS WDCHN BLT LG-63448966"/>
        <s v="18R DI T WIRE RG 4 5-35008071"/>
        <s v="18WDIPV T TRUE NW RG 5-67456866"/>
        <s v="18Y MOP T WIRE BLT SM-63958476"/>
        <s v="SS HW MEDIUM LINK BLT LG-39991594"/>
        <s v="SS18Y MAKERS CHAIN BLT MD-63526738"/>
        <s v="SS18Y MAKERS WDCHN BLT MD-66875466"/>
        <s v="18R HW MEDIUM LINK BLT MD-38086847"/>
        <s v="SS RTT HEART BLT 7 5IN-21149799"/>
        <s v="18R DI T SQR WRAP RG 4 5-35606793"/>
        <s v="18R T1 WD RG7 -67796527"/>
        <s v="18R DI T WIRE BLT MD-33263538"/>
        <s v="18R DI T WIRE RG 7-35007873"/>
        <s v="18R T TRUE WD RG 7-63064351"/>
        <s v="18R ONYX T WIRE RG 6-64027492"/>
        <s v="18R DI WOVEN KEY MD-35725504"/>
        <s v="18R DI MOP T WIRE BLT MD-64028626"/>
        <s v="SS MDRTT HRT TGKEYPDT18IN-30210492"/>
        <s v="18R DI MD ROUND VIC KEY-37688304"/>
        <s v="18WDITURQ TTWOSMCLPDT1618-67467787"/>
        <s v="18R T SQR BLT SMALL-33282354"/>
        <s v="18RHALFDIT1WDHNGBGLMD-67792858"/>
        <s v="PT DI LG HEART PDT 16IN-13006598"/>
        <s v="PT DI MINI HRT PDT-23511827"/>
        <s v="PT RD DI 50 F VS1-69132944"/>
        <s v="SSREDRTTMNHRT4MMBDBLTXS-63686174"/>
        <s v="18R MOP T WIRE BLT SM-63958328"/>
        <s v="18Y LVG HRT STUD ER MN-34595798"/>
        <s v="SS HW MEDIUM LINK BLT MD-38086855"/>
        <s v="18R OLVLF NRW BD RG 5-32080588"/>
        <s v="18Y HW MD 19MM WRAP BLTMD-37932825"/>
        <s v="SS HPKMNRTTHRT4MMBDBLTMD-63527564"/>
        <s v="18R T1 NRW HNGBGL SM-67794362"/>
        <s v="PT DI MINI TF CIRCLET PDT-23954133"/>
        <s v="SS RTT HEART BLT SM-37360201"/>
        <s v="SS RTT MN HRT DGLRG 5 5-35243682"/>
        <s v="18W DI T SMILE SM PDT-63058807"/>
        <s v="SS MN RTT HRT 4MMBD BLTMD-23984024"/>
        <s v="18R DI T WIRE RG 5-35008144"/>
        <s v="SSBLSMRTTDBLHRTTAGPDT1618-37094692"/>
        <s v="PT RD DI 1 09 F VS1-69031420"/>
        <s v="PT DI RD MN SGLRW SLST ER-60987459"/>
        <s v="SS MD RTT HRT TAGTGLBLTSM-32080251"/>
        <s v="18WDIPV T TRUE WD RG 5 5-67459962"/>
        <s v="PT DI MD VIC PDT-25168224"/>
        <s v="PT MN VIC DI ER-23954168"/>
        <s v="18R DI MN TFCRCLT PDT-61691774"/>
        <s v="SS BL RTT HRT TAG BLT MD-28751192"/>
        <s v="PT RD DI 95 F VS1-69085105"/>
        <s v="18R T TWO MD RG 10-36509171"/>
        <s v="PT TRU DI 79 F VVS2-68522021"/>
        <s v="18W DI TURQ T WIRE RG 6 5-64028170"/>
        <s v="PT DI TCO 3MM RG 5 5-23776316"/>
        <s v="PT DI TCO 3MM RG 7-23776359"/>
        <s v="18W DI T WIRE RG 6 5-33279302"/>
        <s v="18W DI TURQ T WIRE BLT MD-64029037"/>
        <s v="18R T TWO MD RG 8-36509368"/>
        <s v="18R T TWO NRW RG 6-36820551"/>
        <s v="SS 1837 NRRW CUFF LG-22992449"/>
        <s v="18R DI DBL LVGHRT MN PDT-63058262"/>
        <s v="18WDIPV T TRUE WD RG 4 5-67459911"/>
        <s v="18RDIPKOP T TWO CLPDT1618-64027115"/>
        <s v="18R DI MOP T WIRE RG 6 5-64027956"/>
        <s v="SS MAKERS SQR PDT24IN-63448532"/>
        <s v="18R FULL DI T1 WD 6 5-68169836"/>
        <s v="18R T1 NRW RG5 5-67797361"/>
        <s v="SS RTT MD HRT TAG PDT18IN-30971655"/>
        <s v="18R DI MOP T WIRE RG 5 5-64027905"/>
        <s v="SS 1837 NRW BASC RG 5-22993755"/>
        <s v="18R DI MOP T WIRE RG 4 5-64027867"/>
        <s v="18W DI T WIRE RG 5-33279337"/>
        <s v="18W T SQR RG 7-33264216"/>
        <s v="18R DI PV T TRUE .23TW NW RG 6.5-63961817"/>
        <s v="18R T TRUE WD RG 7 5-63064386"/>
        <s v="SS MAKERS MD SLICE RG9-63450421"/>
        <s v="18R T TRUE NRW RG 7 5-63065307"/>
        <s v="18Y CUDI2 24FV VVS2-63727164"/>
        <s v="18R DI LVGHRT WIRE BLT MD-60963703"/>
        <s v="18R DI MOP T WIRE RG 7-64027972"/>
        <s v="18R ATLAS X CLOSED LG HOOP ER-67786130"/>
        <s v="18R T TWO DI NRW RG 6-36821329"/>
        <s v="18RDIPV T TRUE NW RG 4 5-67456386"/>
        <s v="18R DI T WIRE BLT SM-35093338"/>
        <s v="SS18Y MAKERS CHAIN BLT SM-63448877"/>
        <s v="18RDI T TRUE LINK RG 5-63064734"/>
        <s v="18RDI T TRUE LINK RG 7-63064815"/>
        <s v="PT DI RD AQ 6MM SLST PDT-32814867"/>
        <s v="18Y DI MN FLEURDELIS KEY-62866934"/>
        <s v="PT DI WOVEN KEY LG-35725636"/>
        <s v="PT18Y LYNN DI 28TW ER STD-10907152"/>
        <s v="18R DI T SMILE SM PDT-63058823"/>
        <s v="18Y TURQ T WIRE BLT MD-64028871"/>
        <s v="18R MOP T WIRE RG 7-64027298"/>
        <s v="18R DI MOP T WIRE RG 7 5-64027999"/>
        <s v="18RDI MOP T TWO CLPDT1618-64026828"/>
        <s v="18R SM DI DAISY KEY-26887771"/>
        <s v="18R DI MN FLEURDELIS KEY-62866993"/>
        <s v="PT RDDI 91 G VS1-66866815"/>
        <s v="18R MOP T WIRE RG 5-64027204"/>
        <s v="18R ONYX T WIRE RG 5-64027441"/>
        <s v="BRS RTHNM TCLP BP-25391209"/>
        <s v="18R DI MN PETALS KEY-60660190"/>
        <s v="18R HLFDI T1 NRWRG4 5-67795288"/>
        <s v="18R DI T WIRE FC RING 4 5-34901473"/>
        <s v="18R MOP T WIRE BLT LG-63958360"/>
        <s v="PT DI TFHARMONY RG 4 5-30620097"/>
        <s v="18R HLFDI T1 NRWRG5 5-67795334"/>
        <s v="SS MAKERS ID CHAIN BLT SM-63526576"/>
        <s v="PT INSIDE OUT DI1 10 HP-11857035"/>
        <s v="SS MAKERS MD SLICE RG8-63450405"/>
        <s v="18R DI T SQR WRAP RG 6-35606696"/>
        <s v="18R DI TCO 3MM RG 6 5-27897916"/>
        <s v="PT HC RD DI 2 0MM RG 4 5-18408937"/>
        <s v="PTDI TIFESN DBMG 4MM 6 5-27897738"/>
        <s v="PT RD DI 64 E VS1-67364856"/>
        <s v="SS MAKERS ID CHAIN BLT LG-63526614"/>
        <s v="18R ONYX T WIRE RG 6 5-64027514"/>
        <s v="PT RD DI 1 21 E VS2-69029752"/>
        <s v="SS BL RTTSPL HRTTAGBLT SM-61523022"/>
        <s v="PT RD DI 34 E VVS2-67934423"/>
        <s v="18R DI RD SGLRW SLST PDT-60879346"/>
        <s v="SS RD RTTMNHRT 4MMBDBLTLG-61941819"/>
        <s v="18WDIACNT MDFLEURDELISKEY-60660123"/>
        <s v="18W PENDANT CHAIN 18IN-33430531"/>
        <s v="PT DI TIF EMB 3 HC RG4 5-16026174"/>
        <s v="PT18 CUDI 72TW FI DBLRWER-68789532"/>
        <s v="PT DI TFHARMONY RG 5 5-30620046"/>
        <s v="PT RD DI 2 03 F VVS1-69252907"/>
        <s v="SS BLU BDR RTT MD HRT PDT-63477966"/>
        <s v="18Y DI MN TREFOIL KEY-62866918"/>
        <s v="SS BLUE BAND T CLIP BP-25391276"/>
        <s v="18R T1 NRW RG5-67797345"/>
        <s v="PT RD DI 41 F VVS1-37952184"/>
        <s v="18R DI T WIRE RG 6-35007733"/>
        <s v="PT DI TFHARMONY RG 6-30620038"/>
        <s v="METALLIC MN VDPOCHE PORS4-60570434"/>
        <s v="18Y DI DBL LVG HRT BLT MD-63062413"/>
        <s v="SS BL RTTSPL HRTTAGBLT MD-61523049"/>
        <s v="18Y DI OLVLF STUD ER-30144368"/>
        <s v="18R MD OPEN KNOT KEY-28686269"/>
        <s v="18R DI MOP T WIRE RG 8-64028014"/>
        <s v="18Y DI T WIRE RG 6 5-35007997"/>
        <s v="18R ONYX T WIRE BLT MD-64028685"/>
        <s v="SS OLVLF NRW BD RG 7-30210611"/>
        <s v="18Y MN LVG HEART BLT MD-34506361"/>
        <s v="PT RD DI 2 65 D VVS1-70168111"/>
      </sharedItems>
    </cacheField>
    <cacheField name="Member Account Code" numFmtId="0">
      <sharedItems count="339">
        <s v="60080458"/>
        <s v="60082960"/>
        <s v="27001049"/>
        <s v="60083471"/>
        <s v="60073222"/>
        <s v="60084724"/>
        <s v="MA002707"/>
        <s v="60084728"/>
        <s v="60084727"/>
        <s v="27001451"/>
        <s v="60080904"/>
        <s v="60074161"/>
        <s v="60084725"/>
        <s v="60084726"/>
        <s v="60089588"/>
        <s v="60073961"/>
        <s v="60084729"/>
        <s v="23000843"/>
        <s v="05002597"/>
        <s v="99000488"/>
        <s v="60084730"/>
        <s v="60084731"/>
        <s v="60084732"/>
        <s v="60084734"/>
        <s v="60084737"/>
        <s v="60084738"/>
        <s v="60084736"/>
        <s v="22000031"/>
        <s v="60084740"/>
        <s v="20002141"/>
        <s v="60084741"/>
        <s v="60084742"/>
        <s v="60084743"/>
        <s v="09000030"/>
        <s v="22000398"/>
        <s v="60084744"/>
        <s v="60084747"/>
        <s v="60084746"/>
        <s v="24001530"/>
        <s v="PV000303"/>
        <s v="60067686"/>
        <s v="60084745"/>
        <s v="39000072"/>
        <s v="99001191"/>
        <s v="60084749"/>
        <s v="13000241"/>
        <s v="09001886"/>
        <s v="13000482"/>
        <s v="05000604"/>
        <s v="60084750"/>
        <s v="60081983"/>
        <s v="60079623"/>
        <s v="60084752"/>
        <s v="60084753"/>
        <s v="60084754"/>
        <s v="20000751"/>
        <s v="60084755"/>
        <s v="60081814"/>
        <s v="60084756"/>
        <s v="09001516"/>
        <s v="60084757"/>
        <s v="60084758"/>
        <s v="99000328"/>
        <s v="60084759"/>
        <s v="60084760"/>
        <s v="60084761"/>
        <s v="60084762"/>
        <s v="60084763"/>
        <s v="60081037"/>
        <s v="60084764"/>
        <s v="60084765"/>
        <s v="60084766"/>
        <s v="60084767"/>
        <s v="22000014"/>
        <s v="60084768"/>
        <s v="60084769"/>
        <s v="60065619"/>
        <s v="20000178"/>
        <s v="59000063"/>
        <s v="60084770"/>
        <s v="60084771"/>
        <s v="60084772"/>
        <s v="60085056"/>
        <s v="60085057"/>
        <s v="05001498"/>
        <s v="60076597"/>
        <s v="60085058"/>
        <s v="60085059"/>
        <s v="60085060"/>
        <s v="60085061"/>
        <s v="60085062"/>
        <s v="60085063"/>
        <s v="60085064"/>
        <s v="60085065"/>
        <s v="60085066"/>
        <s v="60085067"/>
        <s v="60085068"/>
        <s v="08001224"/>
        <s v="60080377"/>
        <s v="60085069"/>
        <s v="PV000171"/>
        <s v="60085071"/>
        <s v="60067418"/>
        <s v="60085072"/>
        <s v="60079850"/>
        <s v="60085073"/>
        <s v="27000390"/>
        <s v="60085074"/>
        <s v="60085075"/>
        <s v="60064032"/>
        <s v="60085076"/>
        <s v="60085077"/>
        <s v="20001130"/>
        <s v="60079969"/>
        <s v="60083449"/>
        <s v="24002905"/>
        <s v="60085078"/>
        <s v="60085079"/>
        <s v="60085080"/>
        <s v="60085081"/>
        <s v="25000030"/>
        <s v="60085082"/>
        <s v="60065272"/>
        <s v="60085083"/>
        <s v="60077793"/>
        <s v="60085084"/>
        <s v="60085085"/>
        <s v="60073377"/>
        <s v="24003554"/>
        <s v="60085086"/>
        <s v="60085087"/>
        <s v="60085088"/>
        <s v="60085089"/>
        <s v="60085090"/>
        <s v="60063583"/>
        <s v="60085091"/>
        <s v="60085092"/>
        <s v="60085093"/>
        <s v="60085105"/>
        <s v="60085104"/>
        <s v="60085103"/>
        <s v="60081050"/>
        <s v="24002596"/>
        <s v="60085102"/>
        <s v="60085101"/>
        <s v="60085100"/>
        <s v="60085099"/>
        <s v="60085098"/>
        <s v="MC0000000022"/>
        <s v="MA001928"/>
        <s v="MC0000000028"/>
        <s v="60085097"/>
        <s v="60085096"/>
        <s v="60085094"/>
        <s v="60085095"/>
        <s v="60066101"/>
        <s v="MC0000000035"/>
        <s v="53000048"/>
        <s v="MC0000000038"/>
        <s v="MC0000000039"/>
        <s v="MC0000000040"/>
        <s v="60078527"/>
        <s v="MC0000000048"/>
        <s v="MC0000000059"/>
        <s v="60090833"/>
        <s v="03001727"/>
        <s v="20000526"/>
        <s v="13000508"/>
        <s v="MC0000000080"/>
        <s v="09000224"/>
        <s v="60078468"/>
        <s v="19000025"/>
        <s v="MC0000000092"/>
        <s v="MC0000000100"/>
        <s v="60062549"/>
        <s v="27000944"/>
        <s v="60089865"/>
        <s v="MC0000000115"/>
        <s v="MC0000000122"/>
        <s v="MC0000000134"/>
        <s v="MC0000000138"/>
        <s v="MC0000000105"/>
        <s v="24002686"/>
        <s v="60065296"/>
        <s v="MC0000000150"/>
        <s v="MC0000000154"/>
        <s v="08001361"/>
        <s v="MA001920"/>
        <s v="27000538"/>
        <s v="22000426"/>
        <s v="MC0000000166"/>
        <s v="MC0000000171"/>
        <s v="20000519"/>
        <s v="MC0000000175"/>
        <s v="60077796"/>
        <s v="MC0000000185"/>
        <s v="MC0000000186"/>
        <s v="18010607"/>
        <s v="60081914"/>
        <s v="27001314"/>
        <s v="MC0000000199"/>
        <s v="MC0000000209"/>
        <s v="24003667"/>
        <s v="MC0000000207"/>
        <s v="MC0000000212"/>
        <s v="MC0000000217"/>
        <s v="MC0000000224"/>
        <s v="60081187"/>
        <s v="MA002648"/>
        <s v="MC0000000237"/>
        <s v="MC0000000240"/>
        <s v="60084239"/>
        <s v="05001353"/>
        <s v="16000039"/>
        <s v="21000564"/>
        <s v="23000267"/>
        <s v="MC0000000265"/>
        <s v="MC0000000268"/>
        <s v="19000068"/>
        <s v="60077685"/>
        <s v="MC0000000281"/>
        <s v="60091037"/>
        <s v="09000109"/>
        <s v="MC0000000300"/>
        <s v="MC0000000306"/>
        <s v="60067426"/>
        <s v="MC0000000315"/>
        <s v="MC0000000319"/>
        <s v="60067370"/>
        <s v="24001936"/>
        <s v="MC0000000343"/>
        <s v="24001124"/>
        <s v="60079105"/>
        <s v="08001406"/>
        <s v="MA003074"/>
        <s v="MC0000000365"/>
        <s v="MC0000000369"/>
        <s v="60081038"/>
        <s v="06000114"/>
        <s v="60081958"/>
        <s v="20001306"/>
        <s v="MC0000000396"/>
        <s v="60078232"/>
        <s v="MC0000000412"/>
        <s v="60077273"/>
        <s v="MC0000000421"/>
        <s v="60082027"/>
        <s v="MC0000000461"/>
        <s v="60073128"/>
        <s v="MC0000000477"/>
        <s v="60062750"/>
        <s v="99000004"/>
        <s v="MC0000000532"/>
        <s v="60064281"/>
        <s v="23000103"/>
        <s v="MC0000000547"/>
        <s v="40000256"/>
        <s v="MC0000000574"/>
        <s v="MC0000000577"/>
        <s v="MC0000000597"/>
        <s v="MC0000000603"/>
        <s v="MC0000000602"/>
        <s v="38000041"/>
        <s v="MC0000000637"/>
        <s v="MC0000000643"/>
        <s v="MC0000000654"/>
        <s v="60063589"/>
        <s v="60075010"/>
        <s v="MC0000000740"/>
        <s v="MC0000000745"/>
        <s v="MC0000000751"/>
        <s v="MC0000000771"/>
        <s v="MC0000000782"/>
        <s v="12001422"/>
        <s v="MC0000000820"/>
        <s v="MC0000000839"/>
        <s v="MC0000000843"/>
        <s v="MC0000000850"/>
        <s v="MC0000000851"/>
        <s v="MC0000000858"/>
        <s v="60065597"/>
        <s v="20000850"/>
        <s v="60083454"/>
        <s v="MC0000000945"/>
        <s v="MC0000000950"/>
        <s v="MC0000000969"/>
        <s v="04002116"/>
        <s v="60073303"/>
        <s v="MC0000001022"/>
        <s v="MC0000001035"/>
        <s v="MC0000001079"/>
        <s v="27001425"/>
        <s v="60088498"/>
        <s v="MC0000001147"/>
        <s v="MC0000001150"/>
        <s v="MC0000001157"/>
        <s v="MC0000001159"/>
        <s v="MC0000001165"/>
        <s v="MC0000001176"/>
        <s v="13000017"/>
        <s v="60063975"/>
        <s v="MC0000001188"/>
        <s v="MC0000000127"/>
        <s v="60062780"/>
        <s v="MC0000001244"/>
        <s v="05002520"/>
        <s v="MC0000001261"/>
        <s v="60073476"/>
        <s v="60064055"/>
        <s v="MC0000001137"/>
        <s v="MC0000001337"/>
        <s v="MC0000001345"/>
        <s v="MC0000001364"/>
        <s v="MC0000001370"/>
        <s v="MC0000001388"/>
        <s v="MC0000001390"/>
        <s v="MC0000001400"/>
        <s v="60090971"/>
        <s v="MC0000001403"/>
        <s v="MC0000001433"/>
        <s v="MC0000001436"/>
        <s v="05001228"/>
        <s v="MC0000001441"/>
        <s v="MC0000001443"/>
        <s v="MC0000001445"/>
        <s v="MC0000001450"/>
        <s v="MC0000001455"/>
        <s v="13000850"/>
        <s v="07002811"/>
        <s v="MC0000001486"/>
        <s v="60091157"/>
        <s v="MC0000001501"/>
        <s v="60091158"/>
        <s v="MC0000001522"/>
        <s v="MC0000001536"/>
        <s v="MC0000001558"/>
        <s v="MC0000001568"/>
        <s v="23000715"/>
        <s v="MC0000001591"/>
      </sharedItems>
    </cacheField>
    <cacheField name="Invoice" numFmtId="0">
      <sharedItems count="386">
        <s v="000000P105000000002"/>
        <s v="000000P105000000003"/>
        <s v="000000P105000000004"/>
        <s v="000000P105000000005"/>
        <s v="000000P105000000006"/>
        <s v="000000P105000000008"/>
        <s v="000000P105000000010"/>
        <s v="000000P105000000011"/>
        <s v="000000P105000000012"/>
        <s v="000000P105000000014"/>
        <s v="000000P105000000016"/>
        <s v="000000P105000000017"/>
        <s v="000000P105000000018"/>
        <s v="000000P105000000019"/>
        <s v="000000P105000000020"/>
        <s v="000000P105000000021"/>
        <s v="000000P105000000022"/>
        <s v="000000P105000000023"/>
        <s v="000000P105000000024"/>
        <s v="000000P105000000025"/>
        <s v="000000P105000000026"/>
        <s v="000000P105000000027"/>
        <s v="000000P105000000029"/>
        <s v="000000P105000000030"/>
        <s v="000000P105000000031"/>
        <s v="000000P105000000032"/>
        <s v="000000P105000000033"/>
        <s v="000000P105000000034"/>
        <s v="000000P105000000037"/>
        <s v="000000P105000000038"/>
        <s v="000000P105000000039"/>
        <s v="000000P105000000040"/>
        <s v="000000P105000000041"/>
        <s v="000000P105000000042"/>
        <s v="000000P105000000043"/>
        <s v="000000P105000000044"/>
        <s v="000000P105000000045"/>
        <s v="000000P105000000046"/>
        <s v="000000P105000000047"/>
        <s v="000000P105000000048"/>
        <s v="000000P105000000049"/>
        <s v="000000P105000000050"/>
        <s v="000000P105000000051"/>
        <s v="000000P105000000052"/>
        <s v="000000P105000000053"/>
        <s v="000000P105000000054"/>
        <s v="000000P105000000055"/>
        <s v="000000P105000000056"/>
        <s v="000000P105000000057"/>
        <s v="000000P105000000058"/>
        <s v="000000P105000000059"/>
        <s v="000000P105000000060"/>
        <s v="000000P105000000061"/>
        <s v="000000P105000000062"/>
        <s v="000000P105000000063"/>
        <s v="000000P105000000064"/>
        <s v="000000P105000000066"/>
        <s v="000000P105000000067"/>
        <s v="000000P105000000068"/>
        <s v="000000P105000000069"/>
        <s v="000000P105000000070"/>
        <s v="000000P105000000071"/>
        <s v="000000P105000000072"/>
        <s v="000000P105000000073"/>
        <s v="000000P105000000074"/>
        <s v="000000P105000000075"/>
        <s v="000000P105000000076"/>
        <s v="000000P105000000077"/>
        <s v="000000P105000000078"/>
        <s v="000000P105000000079"/>
        <s v="000000P105000000080"/>
        <s v="000000P105000000081"/>
        <s v="000000P105000000082"/>
        <s v="000000P105000000083"/>
        <s v="000000P105000000084"/>
        <s v="000000P105000000085"/>
        <s v="000000P105000000086"/>
        <s v="000000P105000000087"/>
        <s v="000000P105000000089"/>
        <s v="000000P105000000090"/>
        <s v="000000P105000000091"/>
        <s v="000000P105000000092"/>
        <s v="000000P105000000093"/>
        <s v="000000P105000000094"/>
        <s v="000000P105000000095"/>
        <s v="000000P105000000096"/>
        <s v="000000P105000000097"/>
        <s v="000000P105000000098"/>
        <s v="000000P105000000099"/>
        <s v="000000P105000000100"/>
        <s v="000000P105000000101"/>
        <s v="000000P105000000102"/>
        <s v="000000P105000000103"/>
        <s v="000000P105000000104"/>
        <s v="000000P105000000105"/>
        <s v="000000P105000000106"/>
        <s v="000000P105000000107"/>
        <s v="000000P105000000108"/>
        <s v="000000P105000000109"/>
        <s v="000000P105000000110"/>
        <s v="000000P105000000111"/>
        <s v="000000P105000000112"/>
        <s v="000000P105000000113"/>
        <s v="000000P105000000114"/>
        <s v="000000P105000000115"/>
        <s v="000000P105000000116"/>
        <s v="000000P105000000117"/>
        <s v="000000P105000000118"/>
        <s v="000000P105000000119"/>
        <s v="000000P105000000120"/>
        <s v="000000P105000000121"/>
        <s v="000000P105000000122"/>
        <s v="000000P105000000123"/>
        <s v="000000P105000000124"/>
        <s v="000000P105000000125"/>
        <s v="000000P105000000126"/>
        <s v="000000P105000000130"/>
        <s v="000000P105000000132"/>
        <s v="000000P105000000133"/>
        <s v="000000P105000000134"/>
        <s v="000000P105000000135"/>
        <s v="000000P105000000136"/>
        <s v="000000P105000000137"/>
        <s v="000000P105000000138"/>
        <s v="000000P105000000139"/>
        <s v="000000P105000000140"/>
        <s v="000000P105000000141"/>
        <s v="000000P105000000142"/>
        <s v="000000P105000000143"/>
        <s v="000000P105000000144"/>
        <s v="000000P105000000145"/>
        <s v="000000P105000000146"/>
        <s v="000000P105000000147"/>
        <s v="000000P105000000148"/>
        <s v="000000P105000000149"/>
        <s v="000000P105000000151"/>
        <s v="000000P105000000152"/>
        <s v="000000P105000000153"/>
        <s v="000000P105000000155"/>
        <s v="000000P105000000156"/>
        <s v="000000P105000000157"/>
        <s v="000000P105000000158"/>
        <s v="000000P105000000159"/>
        <s v="000000P105000000160"/>
        <s v="000000P105000000161"/>
        <s v="000000P105000000162"/>
        <s v="000000P105000000163"/>
        <s v="000000P105000000164"/>
        <s v="000000P105000000165"/>
        <s v="000000P105000000166"/>
        <s v="000000P105000000167"/>
        <s v="000000P105000000168"/>
        <s v="000000P105000000169"/>
        <s v="000000P105000000170"/>
        <s v="000000P105000000171"/>
        <s v="000000P105000000172"/>
        <s v="000000P105000000173"/>
        <s v="000000P105000000174"/>
        <s v="000000P105000000175"/>
        <s v="000000P105000000176"/>
        <s v="000000P105000000177"/>
        <s v="000000P105000000178"/>
        <s v="000000P105000000180"/>
        <s v="000000P105000000181"/>
        <s v="000000P105000000182"/>
        <s v="000000P105000000183"/>
        <s v="000000P105000000184"/>
        <s v="000000P105000000185"/>
        <s v="000000P105000000186"/>
        <s v="000000P105000000187"/>
        <s v="000000P105000000188"/>
        <s v="000000P105000000189"/>
        <s v="000000P105000000190"/>
        <s v="000000P105000000193"/>
        <s v="000000P105000000194"/>
        <s v="000000P105000000195"/>
        <s v="000000P105000000196"/>
        <s v="000000P105000000197"/>
        <s v="000000P105000000198"/>
        <s v="000000P105000000199"/>
        <s v="000000P105000000200"/>
        <s v="000000P105000000201"/>
        <s v="000000P105000000202"/>
        <s v="000000P105000000204"/>
        <s v="000000P105000000205"/>
        <s v="000000P105000000206"/>
        <s v="000000P105000000207"/>
        <s v="000000P105000000208"/>
        <s v="000000P105000000209"/>
        <s v="000000P105000000210"/>
        <s v="000000P105000000211"/>
        <s v="000000P105000000212"/>
        <s v="000000P105000000213"/>
        <s v="000000P105000000214"/>
        <s v="000000P105000000215"/>
        <s v="000000P105000000216"/>
        <s v="000000P105000000217"/>
        <s v="000000P105000000218"/>
        <s v="000000P105000000219"/>
        <s v="000000P105000000221"/>
        <s v="000000P105000000224"/>
        <s v="000000P105000000225"/>
        <s v="000000P105000000226"/>
        <s v="000000P105000000227"/>
        <s v="000000P105000000229"/>
        <s v="000000P105000000230"/>
        <s v="000000P105000000231"/>
        <s v="000000P105000000232"/>
        <s v="000000P105000000233"/>
        <s v="000000P105000000234"/>
        <s v="000000P105000000235"/>
        <s v="000000P105000000236"/>
        <s v="000000P105000000237"/>
        <s v="000000P105000000238"/>
        <s v="000000P105000000239"/>
        <s v="000000P105000000240"/>
        <s v="000000P105000000241"/>
        <s v="000000P105000000242"/>
        <s v="000000P105000000243"/>
        <s v="000000P105000000244"/>
        <s v="000000P105000000245"/>
        <s v="000000P105000000246"/>
        <s v="000000P105000000247"/>
        <s v="000000P105000000248"/>
        <s v="000000P105000000249"/>
        <s v="000000P105000000250"/>
        <s v="000000P105000000251"/>
        <s v="000000P105000000252"/>
        <s v="000000P105000000253"/>
        <s v="000000P105000000254"/>
        <s v="000000P105000000255"/>
        <s v="000000P105000000256"/>
        <s v="000000P105000000257"/>
        <s v="000000P105000000258"/>
        <s v="000000P105000000259"/>
        <s v="000000P105000000260"/>
        <s v="000000P105000000261"/>
        <s v="000000P105000000262"/>
        <s v="000000P105000000263"/>
        <s v="000000P105000000264"/>
        <s v="000000P105000000269"/>
        <s v="000000P105000000270"/>
        <s v="000000P105000000272"/>
        <s v="000000P105000000273"/>
        <s v="000000P105000000274"/>
        <s v="000000P105000000275"/>
        <s v="000000P105000000276"/>
        <s v="000000P105000000278"/>
        <s v="000000P105000000279"/>
        <s v="000000P105000000280"/>
        <s v="000000P105000000281"/>
        <s v="000000P105000000282"/>
        <s v="000000P105000000283"/>
        <s v="000000P105000000284"/>
        <s v="000000P105000000285"/>
        <s v="000000P105000000286"/>
        <s v="000000P105000000287"/>
        <s v="000000P105000000289"/>
        <s v="000000P105000000290"/>
        <s v="000000P105000000291"/>
        <s v="000000P105000000292"/>
        <s v="000000P105000000293"/>
        <s v="000000P105000000294"/>
        <s v="000000P105000000295"/>
        <s v="000000P105000000296"/>
        <s v="000000P105000000297"/>
        <s v="000000P105000000298"/>
        <s v="000000P105000000299"/>
        <s v="000000P105000000300"/>
        <s v="000000P105000000301"/>
        <s v="000000P105000000302"/>
        <s v="000000P105000000303"/>
        <s v="000000P105000000304"/>
        <s v="000000P105000000307"/>
        <s v="000000P105000000308"/>
        <s v="000000P105000000309"/>
        <s v="000000P105000000310"/>
        <s v="000000P105000000311"/>
        <s v="000000P105000000312"/>
        <s v="000000P105000000313"/>
        <s v="000000P105000000314"/>
        <s v="000000P105000000315"/>
        <s v="000000P105000000316"/>
        <s v="000000P105000000317"/>
        <s v="000000P105000000318"/>
        <s v="000000P105000000321"/>
        <s v="000000P105000000322"/>
        <s v="000000P105000000323"/>
        <s v="000000P105000000324"/>
        <s v="000000P105000000325"/>
        <s v="000000P105000000326"/>
        <s v="000000P105000000327"/>
        <s v="000000P105000000328"/>
        <s v="000000P105000000329"/>
        <s v="000000P105000000330"/>
        <s v="000000P105000000331"/>
        <s v="000000P105000000332"/>
        <s v="000000P105000000333"/>
        <s v="000000P105000000334"/>
        <s v="000000P105000000336"/>
        <s v="000000P105000000339"/>
        <s v="000000P105000000340"/>
        <s v="000000P105000000341"/>
        <s v="000000P105000000342"/>
        <s v="000000P105000000343"/>
        <s v="000000P105000000344"/>
        <s v="000000P105000000345"/>
        <s v="000000P105000000346"/>
        <s v="000000P105000000347"/>
        <s v="000000P105000000348"/>
        <s v="000000P105000000349"/>
        <s v="000000P105000000350"/>
        <s v="000000P105000000351"/>
        <s v="000000P105000000352"/>
        <s v="000000P105000000353"/>
        <s v="000000P105000000356"/>
        <s v="000000P105000000357"/>
        <s v="000000P105000000358"/>
        <s v="000000P105000000359"/>
        <s v="000000P105000000360"/>
        <s v="000000P105000000361"/>
        <s v="000000P105000000362"/>
        <s v="000000P105000000363"/>
        <s v="000000P105000000364"/>
        <s v="000000P105000000365"/>
        <s v="000000P105000000366"/>
        <s v="000000P105000000368"/>
        <s v="000000P105000000369"/>
        <s v="000000P105000000370"/>
        <s v="000000P105000000371"/>
        <s v="000000P105000000372"/>
        <s v="000000P105000000373"/>
        <s v="000000P105000000374"/>
        <s v="000000P105000000375"/>
        <s v="000000P105000000376"/>
        <s v="000000P105000000377"/>
        <s v="000000P105000000378"/>
        <s v="000000P105000000379"/>
        <s v="000000P105000000382"/>
        <s v="000000P105000000383"/>
        <s v="000000P105000000384"/>
        <s v="000000P105000000385"/>
        <s v="000000P105000000386"/>
        <s v="000000P105000000387"/>
        <s v="000000P105000000388"/>
        <s v="000000P105000000390"/>
        <s v="000000P105000000391"/>
        <s v="000000P105000000395"/>
        <s v="000000P105000000396"/>
        <s v="000000P105000000397"/>
        <s v="000000P105000000398"/>
        <s v="000000P105000000399"/>
        <s v="000000P105000000400"/>
        <s v="000000P105000000401"/>
        <s v="000000P105000000402"/>
        <s v="000000P105000000403"/>
        <s v="000000P105000000404"/>
        <s v="000000P105000000405"/>
        <s v="000000P105000000406"/>
        <s v="000000P105000000407"/>
        <s v="000000P105000000408"/>
        <s v="000000P105000000409"/>
        <s v="000000P105000000410"/>
        <s v="000000P105000000411"/>
        <s v="000000P105000000412"/>
        <s v="000000P105000000413"/>
        <s v="000000P105000000414"/>
        <s v="000000P105000000415"/>
        <s v="000000P105000000416"/>
        <s v="000000P105000000417"/>
        <s v="000000P105000000418"/>
        <s v="000000P105000000419"/>
        <s v="000000P105000000422"/>
        <s v="000000P105000000423"/>
        <s v="000000P105000000424"/>
        <s v="000000P105000000425"/>
        <s v="000000P105000000426"/>
        <s v="000000P105000000427"/>
        <s v="000000P105000000428"/>
        <s v="000000P105000000429"/>
        <s v="000000P105000000431"/>
        <s v="000000P105000000432"/>
        <s v="000000P105000000433"/>
        <s v="000000P105000000434"/>
        <s v="000000P105000000435"/>
        <s v="000000P105000000436"/>
      </sharedItems>
    </cacheField>
    <cacheField name="Sales Qty" numFmtId="3">
      <sharedItems containsSemiMixedTypes="0" containsString="0" containsNumber="1" containsInteger="1" minValue="-1" maxValue="1" count="2">
        <n v="1"/>
        <n v="-1"/>
      </sharedItems>
    </cacheField>
    <cacheField name="Sales Amt" numFmtId="3"/>
    <cacheField name="Sales amt $" numFmtId="3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freshedDate="44775.6982047454" refreshedBy="Admin" recordCount="495">
  <cacheSource type="worksheet">
    <worksheetSource name="Du_Lieu"/>
  </cacheSource>
  <cacheFields count="9">
    <cacheField name="Date" numFmtId="58"/>
    <cacheField name="Scheme Name" numFmtId="0">
      <sharedItems count="7">
        <s v="PLATINUM"/>
        <s v="MEMBER"/>
        <s v="GOLD"/>
        <s v="TEMP"/>
        <s v="BOD"/>
        <s v="NEW"/>
        <s v="STAFF"/>
      </sharedItems>
    </cacheField>
    <cacheField name="Store Name" numFmtId="0"/>
    <cacheField name="Item Name" numFmtId="0">
      <sharedItems count="339">
        <s v="SS RED RTTMN2HRTPDT1618IN-63520594"/>
        <s v="18R DI XMN HRT PDT-61101195"/>
        <s v="SS MN RTT HRT4MM BD BLTSM-27631886"/>
        <s v="18R DI LVGHRT WIRE BLT SM-60963673"/>
        <s v="18R T TRUE NRW RG 5 5-63065226"/>
        <s v="18R T TRUE NRW RG 7-63065285"/>
        <s v="18W DI T WIRE BLT MD-33263473"/>
        <s v="SS BL MNRTTHRT 4MMBDBLTMD-26659604"/>
        <s v="SS PK MNRTTHRT4MMBDBLTMD-30978811"/>
        <s v="SS PK MNRT HRT 4MMBDBLTSM-30978838"/>
        <s v="SS RD RTTMNHRT 4MMBDBLTMD-61941797"/>
        <s v="18R DI T WIRE RG 6 5-35007857"/>
        <s v="18RDI SMRD PRCD ATL PDT16-30480554"/>
        <s v="18W DI TURQ T WIRE RG 5-64028103"/>
        <s v="18R T TWO CHN DBL BLT SM-62355417"/>
        <s v="18R LG DI DAISY KEY-26887623"/>
        <s v="18R PENDANT CHAIN 16IN-25508327"/>
        <s v="CLRBLK PIGGYBANK ERTHNWRE-60559961"/>
        <s v="SS MD PDT CHAIN 18IN-33484038"/>
        <s v="18WDI T SMILE MN PDT1618-62617802"/>
        <s v="18R HLFDI T1 NRWRG6 5-67795377"/>
        <s v="18R DI TCO 3MM RG 6-27897908"/>
        <s v="18R TCO 3MM RG 7-33026617"/>
        <s v="SS BL MN RTT 2HRT PDT 18-30210417"/>
        <s v="18R DI SM HEART KEY-62859954"/>
        <s v="SS HW MD 19MM WRAP NL36IN-62611928"/>
        <s v="TTN BLK 1837 NRW RG 7 5-25923677"/>
        <s v="TTN BLK 1837 NRW RG 7-25923669"/>
        <s v="SS 1837 NRW BASC RG 5 5-22993763"/>
        <s v="SS 1837 NRRW CUFF MD-22992422"/>
        <s v="SS 1837 INTLK SM PDT 16IN-22992139"/>
        <s v="SS HPKMNRTTHRT4MMBDBLTXS-63686115"/>
        <s v="18RSSRTTLADYBUGPDTADJ1618-67070526"/>
        <s v="18R T SMILE PDT LG 1618IN-33637152"/>
        <s v="18R DI MOP T WIRE RG 6-64027921"/>
        <s v="18R T SMILE SM BLT MD-36667281"/>
        <s v="18R MOP T TWO CL ER-66886042"/>
        <s v="18R T1 NRW HNG BGL MD-67794346"/>
        <s v="SS PINK MN RTT 2HRT PDT16-28751249"/>
        <s v="18R DI 13 CROWN KEY-25460979"/>
        <s v="18R PENDANT CHAIN 18IN-25508335"/>
        <s v="18RDI RD MN SGLRW SLST ER-60987491"/>
        <s v="18R TCO 4MM RG 9-35249907"/>
        <s v="18W DI MD ATLPRCDRG 7-35102272"/>
        <s v="18W DI MD ATLPRCDRG 8-35102256"/>
        <s v="SS RTT HRT TAG BLT 7 5IN-18967529"/>
        <s v="18Y GRAFFITI X MN ER-60962316"/>
        <s v="18R T SMILE ER-36667249"/>
        <s v="18R SM 1837INTLK PDT16IN-35672087"/>
        <s v="MD SQ JWLRY CASE LEA TFBL-60883300"/>
        <s v="18R SM LVG HEART PDT16IN-34614598"/>
        <s v="18Y SM LVG HEART PDT16IN-34595828"/>
        <s v="18R HW BALL 10MM HOOK ER-38172816"/>
        <s v="18R HWBALL12 75MMPDT18 20-38096818"/>
        <s v="18RDIACNT MDFLEURDELISKEY-60764379"/>
        <s v="SS 1837 INTLK SM PDT 18IN-30319575"/>
        <s v="18R DI T SMILE LG PDT1618-63104981"/>
        <s v="18R T WIRE BAR ER-62271884"/>
        <s v="18R MN LVG HEART PDT16IN-34614555"/>
        <s v="18R HW MEDIUM LINK BLT SM-39991586"/>
        <s v="ST BLK T SQR BLT LG-36618159"/>
        <s v="18R T SMILE SM BLT SM-36819553"/>
        <s v="18R T SMILE XLPDT1618-67513436"/>
        <s v="PT CU DI 1 12 G VVS1-68800889"/>
        <s v="18RDI MD ORNFLEURDLISKEY-60660069"/>
        <s v="18R HLFDI T1 NRWRG6-67795350"/>
        <s v="18RHLFDIT1NRWHNGBGLMD-68315786"/>
        <s v="18RDI MOP TTWOSMCLPDT1618-67467582"/>
        <s v="PT DI XMN HRT ER-61101268"/>
        <s v="PT18Y CUDI 69FI-63729191"/>
        <s v="18R MN HEART KEY-24464733"/>
        <s v="SS OLVLF NRW CUFF MD-31862949"/>
        <s v="18W T SMILE SM PDT16 18-35189424"/>
        <s v="18R ONYX T WIRE BLT SM-64028669"/>
        <s v="18R ONYX T WIRE RG 4 5-64027425"/>
        <s v="18RDIONYX T TWO CLPDT1618-64026992"/>
        <s v="SS EXEC TCLIP TB BRS BPEN-37361399"/>
        <s v="TFTRAVEL LTH PSPT CVR BLK-62205245"/>
        <s v="TFTRAVL LTH PSPT CVR TFBL-62271531"/>
        <s v="18R DI BG T SQR PDT 16 18-62996021"/>
        <s v="18Y DI OPEN RD MN KEY-62230126"/>
        <s v="18Y PENDANT CHAIN 16IN-21921394"/>
        <s v="18R DI MOP T WIRE BLT SM-64028596"/>
        <s v="18W DI SM ATL PRCD KEY-35252975"/>
        <s v="PT 16IN CHAIN-21803642"/>
        <s v="SS18RRTTLADYBUGCHNBLTXSSM-67071492"/>
        <s v="SS BL MNRTT 2HRT PDT 16IN-27125107"/>
        <s v="18Y DI SM ATL PRCD KEY-35252991"/>
        <s v="18R OLVLF EAR CLIMBER ER-60702586"/>
        <s v="SS RTT LV HRT KEY BLT SM-36812591"/>
        <s v="SS BL MNRTTHRT 4MMBDBLTSM-27630146"/>
        <s v="18W TURQ T WIRE BLT MD-64028952"/>
        <s v="PT DI 61TW TIF SLST ER-28646453"/>
        <s v="18R MD T WIRE BANGLE LG-33419767"/>
        <s v="PT DI MDRBORNFLEURDLISKEY-60660026"/>
        <s v="18R DI MN VICTORIA KEY-62867019"/>
        <s v="PTDI TIFESN DBMG 4MM 6-27897711"/>
        <s v="PTDI TIFESN DBMG 4MM 7 5-27897754"/>
        <s v="SS MINI RTT HEART STUD ER-23900564"/>
        <s v="18R T WIRE BLT MD-33263465"/>
        <s v="SS SM RTT HRTTG BD BLT XS-67127625"/>
        <s v="18W T TWO DI NRW RG 5-36815884"/>
        <s v="18W T TWO NRW RG 7 5-36815264"/>
        <s v="SS BLMNRTTHRT4MMBD BLT XS-63686085"/>
        <s v="18W DI T SMILE SM BLT MD-36667192"/>
        <s v="SS MN 1837 INTLK BLT ADJ-35505903"/>
        <s v="18R DI T WIRE FC RING 6 5-34901538"/>
        <s v="PT VICT SM DI ER-11833187"/>
        <s v="18R DI .03TW T SMILE MN PDT-63843385"/>
        <s v="18Y DI 13 CROWN KEY-25524942"/>
        <s v="SS RTT MN HRT DGLRG 4 5-35243593"/>
        <s v="SS RTT MINI 2 HRT PDT16IN-22309307"/>
        <s v="18W T TWO DI NRW RG 4 5-36815906"/>
        <s v="18W T TWO DI NRW RG 7 5-36815876"/>
        <s v="18R OLVLF NRW BD RG 6-32080553"/>
        <s v="SS MN RTTL BLHRTBD BLT SM-61002421"/>
        <s v="18R GRAFFITI X MN ER-60962332"/>
        <s v="PT RDDI 40TW F VVS2 VVS2-69142087"/>
        <s v="ST BLK T SQR BLT MD-36537973"/>
        <s v="CLRBLK LUGGAGE TAG-60927626"/>
        <s v="PT DI LG VIC PDT-14743715"/>
        <s v="PT VICT MD DI ER-25169328"/>
        <s v="18R NRW T WIRE RG 5 5-33418868"/>
        <s v="18R T SMILE SM PDT16 18-35189432"/>
        <s v="PT18Y CUDI 42FY DB RG-34686769"/>
        <s v="18Y DI T SMILE SM PDT-63058785"/>
        <s v="18Y T SMILE PDT LG 1618IN-33637179"/>
        <s v="CLRBLK ZIP MULTFN WLT LEA-60939764"/>
        <s v="SS EXEC TCLIP BLK BRS BP-37361348"/>
        <s v="SS MDRTT HRT TGKEY PDT16-26909686"/>
        <s v="18R T TWO DI NRW RG 4 5-36821469"/>
        <s v="18R T TWO NRW RG 9-36820632"/>
        <s v="SS 1837 NRW BASC RG 6-22993771"/>
        <s v="PT RD DI 1 31 F VS1-69029906"/>
        <s v="18R DI T WIRE RG 5 5-35007903"/>
        <s v="18RDI TCO 4MM RG 8 5-33133111"/>
        <s v="BEAR &amp; BLOCK 3PC CHINASET-60559880"/>
        <s v="PT DI TCO 4MM RG 9 5-33130775"/>
        <s v="18R GRAFFITI X SM ER-61912606"/>
        <s v="18Y TURQ T WIRE BLT SM-64028855"/>
        <s v="18Y TURQ T WIRE RG 4 5-64027654"/>
        <s v="18Y HW MEDIUM LINK NL18IN-38086758"/>
        <s v="PT DI TIF EMB 3 HC RG6 5-16026301"/>
        <s v="PT DI MINI TF CIRCLET ER-23954141"/>
        <s v="SS MAKERS CUFF SM-63449121"/>
        <s v="18W DI T SMILE ER-36667168"/>
        <s v="18Y T SMILE SM PDT16 18-35189459"/>
        <s v="18Y DI MN VICTORIA KEY-62866950"/>
        <s v="18Y DI T WIRE RG 5 5-35008187"/>
        <s v="18Y PENDANT CHAIN 18IN-21921386"/>
        <s v="18Y MN LVG HEART PDT16IN-34595771"/>
        <s v="18R T1 NRW RG6-67797396"/>
        <s v="SS MN RTTL BLUE HRT ER-60994862"/>
        <s v="CLR BLK PSSPRT CVR GRNLEA-60927596"/>
        <s v="18W DI TURQ T WIRE RG 5 5-64028138"/>
        <s v="18R TFHARMONY 3MM RG4 5-33419252"/>
        <s v="18R TFHARMONY 3MM RG6-33419139"/>
        <s v="SS HW GRAD LINK NL 18IN-38086898"/>
        <s v="SS HW LINK ER-38087959"/>
        <s v="SS HW MD 19MM WRAP BRACELET-61699309"/>
        <s v="18RHLFDIT1NRWHNGBGLSM-68315751"/>
        <s v="SS OLVLF EAR CLIMBER ER-60702527"/>
        <s v="SS RD RTTMNHRT 4MMBDBLTSM-61941770"/>
        <s v="SS SM RTT HRT BLT SM-29668086"/>
        <s v="18RDI TCO 4MM RG 7 5-33133162"/>
        <s v="18RDI TCO 4MM RG 8-33133014"/>
        <s v="18R T TWO DI PAVE NRW 6 5-36822325"/>
        <s v="18Y DI T WIRE BLT MD-35065717"/>
        <s v="18R DI DBL LVG HRT ER-63062529"/>
        <s v="18R DI TCO 3MM RG 5-27897886"/>
        <s v="18RDI TCO 4MM RG 6 5-33132999"/>
        <s v="PT DI RD SGLRW SLST PDT-60572852"/>
        <s v="SS 1837 NRW CUFF SM-31417767"/>
        <s v="SS MAKERS CUFF MD-63526894"/>
        <s v="CLRBK FLAPCNT WLT GRNLEA-60883416"/>
        <s v="SS MN RTT HRT 4MMBD BLTLG-24711781"/>
        <s v="PT DI PS TNZ 10X7SLST PDT-29137102"/>
        <s v="PTDI RD BLSA 5MM SLST ER-31176409"/>
        <s v="SS RTT HRT KEY PDTADJ1618-36812613"/>
        <s v="18R HLFDI T1 NRWRG5-67795318"/>
        <s v="18R T TWO NRW RG 6 5-36820608"/>
        <s v="18R NRW T WIRE RG 6-33418876"/>
        <s v="18R T TWO MD RG 6 5-36509228"/>
        <s v="18Y MN LVG HEART BLT SM-34614563"/>
        <s v="CLRBLK MN VIDEPOCHE PORS4-60570108"/>
        <s v="SS PKMNRTTHRT 4MMBD BLTXS-63520543"/>
        <s v="SSMNRTTHRT4MMBDBLTXS-63686131"/>
        <s v="SS HW MEDIUM LINK BLT SM-39991608"/>
        <s v="18R DI T SMILE SM BLT SM-36819588"/>
        <s v="18W DI T SMILE SM BLT SM-36819634"/>
        <s v="18W DI T WIRE BLT SM-33450915"/>
        <s v="18R ATLS X CLSD INTRLCKPDT161-67789237"/>
        <s v="18R DI SM OPN CRCL PDT 16-60573204"/>
        <s v="SS18Y MAKERS WDCHN BLT LG-63448966"/>
        <s v="18R DI T WIRE RG 4 5-35008071"/>
        <s v="18WDIPV T TRUE NW RG 5-67456866"/>
        <s v="18Y MOP T WIRE BLT SM-63958476"/>
        <s v="SS HW MEDIUM LINK BLT LG-39991594"/>
        <s v="SS18Y MAKERS CHAIN BLT MD-63526738"/>
        <s v="SS18Y MAKERS WDCHN BLT MD-66875466"/>
        <s v="18R HW MEDIUM LINK BLT MD-38086847"/>
        <s v="SS RTT HEART BLT 7 5IN-21149799"/>
        <s v="18R DI T SQR WRAP RG 4 5-35606793"/>
        <s v="18R T1 WD RG7 -67796527"/>
        <s v="18R DI T WIRE BLT MD-33263538"/>
        <s v="18R DI T WIRE RG 7-35007873"/>
        <s v="18R T TRUE WD RG 7-63064351"/>
        <s v="18R ONYX T WIRE RG 6-64027492"/>
        <s v="18R DI WOVEN KEY MD-35725504"/>
        <s v="18R DI MOP T WIRE BLT MD-64028626"/>
        <s v="SS MDRTT HRT TGKEYPDT18IN-30210492"/>
        <s v="18R DI MD ROUND VIC KEY-37688304"/>
        <s v="18WDITURQ TTWOSMCLPDT1618-67467787"/>
        <s v="18R T SQR BLT SMALL-33282354"/>
        <s v="18RHALFDIT1WDHNGBGLMD-67792858"/>
        <s v="PT DI LG HEART PDT 16IN-13006598"/>
        <s v="PT DI MINI HRT PDT-23511827"/>
        <s v="PT RD DI 50 F VS1-69132944"/>
        <s v="SSREDRTTMNHRT4MMBDBLTXS-63686174"/>
        <s v="18R MOP T WIRE BLT SM-63958328"/>
        <s v="18Y LVG HRT STUD ER MN-34595798"/>
        <s v="SS HW MEDIUM LINK BLT MD-38086855"/>
        <s v="18R OLVLF NRW BD RG 5-32080588"/>
        <s v="18Y HW MD 19MM WRAP BLTMD-37932825"/>
        <s v="SS HPKMNRTTHRT4MMBDBLTMD-63527564"/>
        <s v="18R T1 NRW HNGBGL SM-67794362"/>
        <s v="PT DI MINI TF CIRCLET PDT-23954133"/>
        <s v="SS RTT HEART BLT SM-37360201"/>
        <s v="SS RTT MN HRT DGLRG 5 5-35243682"/>
        <s v="18W DI T SMILE SM PDT-63058807"/>
        <s v="SS MN RTT HRT 4MMBD BLTMD-23984024"/>
        <s v="18R DI T WIRE RG 5-35008144"/>
        <s v="SSBLSMRTTDBLHRTTAGPDT1618-37094692"/>
        <s v="PT RD DI 1 09 F VS1-69031420"/>
        <s v="PT DI RD MN SGLRW SLST ER-60987459"/>
        <s v="SS MD RTT HRT TAGTGLBLTSM-32080251"/>
        <s v="18WDIPV T TRUE WD RG 5 5-67459962"/>
        <s v="PT DI MD VIC PDT-25168224"/>
        <s v="PT MN VIC DI ER-23954168"/>
        <s v="18R DI MN TFCRCLT PDT-61691774"/>
        <s v="SS BL RTT HRT TAG BLT MD-28751192"/>
        <s v="PT RD DI 95 F VS1-69085105"/>
        <s v="18R T TWO MD RG 10-36509171"/>
        <s v="PT TRU DI 79 F VVS2-68522021"/>
        <s v="18W DI TURQ T WIRE RG 6 5-64028170"/>
        <s v="PT DI TCO 3MM RG 5 5-23776316"/>
        <s v="PT DI TCO 3MM RG 7-23776359"/>
        <s v="18W DI T WIRE RG 6 5-33279302"/>
        <s v="18W DI TURQ T WIRE BLT MD-64029037"/>
        <s v="18R T TWO MD RG 8-36509368"/>
        <s v="18R T TWO NRW RG 6-36820551"/>
        <s v="SS 1837 NRRW CUFF LG-22992449"/>
        <s v="18R DI DBL LVGHRT MN PDT-63058262"/>
        <s v="18WDIPV T TRUE WD RG 4 5-67459911"/>
        <s v="18RDIPKOP T TWO CLPDT1618-64027115"/>
        <s v="18R DI MOP T WIRE RG 6 5-64027956"/>
        <s v="SS MAKERS SQR PDT24IN-63448532"/>
        <s v="18R FULL DI T1 WD 6 5-68169836"/>
        <s v="18R T1 NRW RG5 5-67797361"/>
        <s v="SS RTT MD HRT TAG PDT18IN-30971655"/>
        <s v="18R DI MOP T WIRE RG 5 5-64027905"/>
        <s v="SS 1837 NRW BASC RG 5-22993755"/>
        <s v="18R DI MOP T WIRE RG 4 5-64027867"/>
        <s v="18W DI T WIRE RG 5-33279337"/>
        <s v="18W T SQR RG 7-33264216"/>
        <s v="18R DI PV T TRUE .23TW NW RG 6.5-63961817"/>
        <s v="18R T TRUE WD RG 7 5-63064386"/>
        <s v="SS MAKERS MD SLICE RG9-63450421"/>
        <s v="18R T TRUE NRW RG 7 5-63065307"/>
        <s v="18Y CUDI2 24FV VVS2-63727164"/>
        <s v="18R DI LVGHRT WIRE BLT MD-60963703"/>
        <s v="18R DI MOP T WIRE RG 7-64027972"/>
        <s v="18R ATLAS X CLOSED LG HOOP ER-67786130"/>
        <s v="18R T TWO DI NRW RG 6-36821329"/>
        <s v="18RDIPV T TRUE NW RG 4 5-67456386"/>
        <s v="18R DI T WIRE BLT SM-35093338"/>
        <s v="SS18Y MAKERS CHAIN BLT SM-63448877"/>
        <s v="18RDI T TRUE LINK RG 5-63064734"/>
        <s v="18RDI T TRUE LINK RG 7-63064815"/>
        <s v="PT DI RD AQ 6MM SLST PDT-32814867"/>
        <s v="18Y DI MN FLEURDELIS KEY-62866934"/>
        <s v="PT DI WOVEN KEY LG-35725636"/>
        <s v="PT18Y LYNN DI 28TW ER STD-10907152"/>
        <s v="18R DI T SMILE SM PDT-63058823"/>
        <s v="18Y TURQ T WIRE BLT MD-64028871"/>
        <s v="18R MOP T WIRE RG 7-64027298"/>
        <s v="18R DI MOP T WIRE RG 7 5-64027999"/>
        <s v="18RDI MOP T TWO CLPDT1618-64026828"/>
        <s v="18R SM DI DAISY KEY-26887771"/>
        <s v="18R DI MN FLEURDELIS KEY-62866993"/>
        <s v="PT RDDI 91 G VS1-66866815"/>
        <s v="18R MOP T WIRE RG 5-64027204"/>
        <s v="18R ONYX T WIRE RG 5-64027441"/>
        <s v="BRS RTHNM TCLP BP-25391209"/>
        <s v="18R DI MN PETALS KEY-60660190"/>
        <s v="18R HLFDI T1 NRWRG4 5-67795288"/>
        <s v="18R DI T WIRE FC RING 4 5-34901473"/>
        <s v="18R MOP T WIRE BLT LG-63958360"/>
        <s v="PT DI TFHARMONY RG 4 5-30620097"/>
        <s v="18R HLFDI T1 NRWRG5 5-67795334"/>
        <s v="SS MAKERS ID CHAIN BLT SM-63526576"/>
        <s v="PT INSIDE OUT DI1 10 HP-11857035"/>
        <s v="SS MAKERS MD SLICE RG8-63450405"/>
        <s v="18R DI T SQR WRAP RG 6-35606696"/>
        <s v="18R DI TCO 3MM RG 6 5-27897916"/>
        <s v="PT HC RD DI 2 0MM RG 4 5-18408937"/>
        <s v="PTDI TIFESN DBMG 4MM 6 5-27897738"/>
        <s v="PT RD DI 64 E VS1-67364856"/>
        <s v="SS MAKERS ID CHAIN BLT LG-63526614"/>
        <s v="18R ONYX T WIRE RG 6 5-64027514"/>
        <s v="PT RD DI 1 21 E VS2-69029752"/>
        <s v="SS BL RTTSPL HRTTAGBLT SM-61523022"/>
        <s v="PT RD DI 34 E VVS2-67934423"/>
        <s v="18R DI RD SGLRW SLST PDT-60879346"/>
        <s v="SS RD RTTMNHRT 4MMBDBLTLG-61941819"/>
        <s v="18WDIACNT MDFLEURDELISKEY-60660123"/>
        <s v="18W PENDANT CHAIN 18IN-33430531"/>
        <s v="PT DI TIF EMB 3 HC RG4 5-16026174"/>
        <s v="PT18 CUDI 72TW FI DBLRWER-68789532"/>
        <s v="PT DI TFHARMONY RG 5 5-30620046"/>
        <s v="PT RD DI 2 03 F VVS1-69252907"/>
        <s v="SS BLU BDR RTT MD HRT PDT-63477966"/>
        <s v="18Y DI MN TREFOIL KEY-62866918"/>
        <s v="SS BLUE BAND T CLIP BP-25391276"/>
        <s v="18R T1 NRW RG5-67797345"/>
        <s v="PT RD DI 41 F VVS1-37952184"/>
        <s v="18R DI T WIRE RG 6-35007733"/>
        <s v="PT DI TFHARMONY RG 6-30620038"/>
        <s v="METALLIC MN VDPOCHE PORS4-60570434"/>
        <s v="18Y DI DBL LVG HRT BLT MD-63062413"/>
        <s v="SS BL RTTSPL HRTTAGBLT MD-61523049"/>
        <s v="18Y DI OLVLF STUD ER-30144368"/>
        <s v="18R MD OPEN KNOT KEY-28686269"/>
        <s v="18R DI MOP T WIRE RG 8-64028014"/>
        <s v="18Y DI T WIRE RG 6 5-35007997"/>
        <s v="18R ONYX T WIRE BLT MD-64028685"/>
        <s v="SS OLVLF NRW BD RG 7-30210611"/>
        <s v="18Y MN LVG HEART BLT MD-34506361"/>
        <s v="PT RD DI 2 65 D VVS1-70168111"/>
      </sharedItems>
    </cacheField>
    <cacheField name="Member Account Code" numFmtId="0"/>
    <cacheField name="Invoice" numFmtId="0"/>
    <cacheField name="Sales Qty" numFmtId="3"/>
    <cacheField name="Sales Amt" numFmtId="3"/>
    <cacheField name="Tháng" numFmtId="3">
      <sharedItems containsNumber="1" containsInteger="1" containsMixedTypes="1" count="14">
        <s v="Tháng 5"/>
        <s v="Tháng 6"/>
        <s v="Tháng 7"/>
        <s v="Tháng 9"/>
        <s v="Tháng 10"/>
        <s v="Tháng 11"/>
        <s v="Tháng 12"/>
        <n v="5" u="1"/>
        <n v="6" u="1"/>
        <n v="7" u="1"/>
        <n v="9" u="1"/>
        <n v="10" u="1"/>
        <n v="11" u="1"/>
        <n v="12" u="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5">
  <r>
    <d v="2021-05-12T00:00:00"/>
    <x v="0"/>
    <s v="TIFFANY - TTP"/>
    <x v="0"/>
    <x v="0"/>
    <x v="0"/>
    <x v="0"/>
    <n v="5416000"/>
    <n v="231.84931506849315"/>
  </r>
  <r>
    <d v="2021-05-12T00:00:00"/>
    <x v="0"/>
    <s v="TIFFANY - TTP"/>
    <x v="1"/>
    <x v="1"/>
    <x v="1"/>
    <x v="0"/>
    <n v="38813000"/>
    <n v="1661.5154109589041"/>
  </r>
  <r>
    <d v="2021-05-12T00:00:00"/>
    <x v="0"/>
    <s v="TIFFANY - TTP"/>
    <x v="2"/>
    <x v="1"/>
    <x v="1"/>
    <x v="0"/>
    <n v="6229000"/>
    <n v="266.65239726027397"/>
  </r>
  <r>
    <d v="2021-05-12T00:00:00"/>
    <x v="0"/>
    <s v="TIFFANY - TTP"/>
    <x v="3"/>
    <x v="2"/>
    <x v="2"/>
    <x v="0"/>
    <n v="46937000"/>
    <n v="2009.2893835616439"/>
  </r>
  <r>
    <d v="2021-05-12T00:00:00"/>
    <x v="1"/>
    <s v="TIFFANY - TTP"/>
    <x v="4"/>
    <x v="3"/>
    <x v="3"/>
    <x v="0"/>
    <n v="28884000"/>
    <n v="1236.472602739726"/>
  </r>
  <r>
    <d v="2021-05-12T00:00:00"/>
    <x v="1"/>
    <s v="TIFFANY - TTP"/>
    <x v="5"/>
    <x v="3"/>
    <x v="3"/>
    <x v="0"/>
    <n v="28884000"/>
    <n v="1236.472602739726"/>
  </r>
  <r>
    <d v="2021-05-12T00:00:00"/>
    <x v="0"/>
    <s v="TIFFANY - TTP"/>
    <x v="6"/>
    <x v="4"/>
    <x v="4"/>
    <x v="0"/>
    <n v="114633000"/>
    <n v="4907.2345890410961"/>
  </r>
  <r>
    <d v="2021-05-13T00:00:00"/>
    <x v="1"/>
    <s v="TIFFANY - TTP"/>
    <x v="7"/>
    <x v="5"/>
    <x v="5"/>
    <x v="0"/>
    <n v="6229000"/>
    <n v="266.65239726027397"/>
  </r>
  <r>
    <d v="2021-05-13T00:00:00"/>
    <x v="1"/>
    <s v="TIFFANY - TTP"/>
    <x v="8"/>
    <x v="5"/>
    <x v="5"/>
    <x v="0"/>
    <n v="6229000"/>
    <n v="266.65239726027397"/>
  </r>
  <r>
    <d v="2021-05-16T00:00:00"/>
    <x v="2"/>
    <s v="TIFFANY - TTP"/>
    <x v="9"/>
    <x v="6"/>
    <x v="6"/>
    <x v="0"/>
    <n v="6229000"/>
    <n v="266.65239726027397"/>
  </r>
  <r>
    <d v="2021-05-16T00:00:00"/>
    <x v="1"/>
    <s v="TIFFANY - TTP"/>
    <x v="10"/>
    <x v="7"/>
    <x v="7"/>
    <x v="0"/>
    <n v="6229000"/>
    <n v="266.65239726027397"/>
  </r>
  <r>
    <d v="2021-05-16T00:00:00"/>
    <x v="2"/>
    <s v="TIFFANY - TTP"/>
    <x v="9"/>
    <x v="6"/>
    <x v="8"/>
    <x v="1"/>
    <n v="-6229000"/>
    <n v="-266.65239726027397"/>
  </r>
  <r>
    <d v="2021-05-16T00:00:00"/>
    <x v="1"/>
    <s v="TIFFANY - TTP"/>
    <x v="10"/>
    <x v="7"/>
    <x v="9"/>
    <x v="1"/>
    <n v="-6229000"/>
    <n v="-266.65239726027397"/>
  </r>
  <r>
    <d v="2021-05-14T00:00:00"/>
    <x v="1"/>
    <s v="TIFFANY - TTP"/>
    <x v="7"/>
    <x v="8"/>
    <x v="10"/>
    <x v="0"/>
    <n v="6229000"/>
    <n v="266.65239726027397"/>
  </r>
  <r>
    <d v="2021-05-14T00:00:00"/>
    <x v="0"/>
    <s v="TIFFANY - TTP"/>
    <x v="11"/>
    <x v="9"/>
    <x v="11"/>
    <x v="0"/>
    <n v="56865000"/>
    <n v="2434.2893835616437"/>
  </r>
  <r>
    <d v="2021-05-14T00:00:00"/>
    <x v="0"/>
    <s v="TIFFANY - TTP"/>
    <x v="12"/>
    <x v="9"/>
    <x v="11"/>
    <x v="0"/>
    <n v="27982000"/>
    <n v="1197.8595890410959"/>
  </r>
  <r>
    <d v="2021-05-14T00:00:00"/>
    <x v="1"/>
    <s v="TIFFANY - TTP"/>
    <x v="13"/>
    <x v="7"/>
    <x v="12"/>
    <x v="0"/>
    <n v="63184000"/>
    <n v="2704.794520547945"/>
  </r>
  <r>
    <d v="2021-05-15T00:00:00"/>
    <x v="2"/>
    <s v="TIFFANY - TTP"/>
    <x v="9"/>
    <x v="6"/>
    <x v="13"/>
    <x v="0"/>
    <n v="6229000"/>
    <n v="266.65239726027397"/>
  </r>
  <r>
    <d v="2021-05-15T00:00:00"/>
    <x v="1"/>
    <s v="TIFFANY - TTP"/>
    <x v="10"/>
    <x v="7"/>
    <x v="14"/>
    <x v="0"/>
    <n v="6229000"/>
    <n v="266.65239726027397"/>
  </r>
  <r>
    <d v="2021-05-16T00:00:00"/>
    <x v="0"/>
    <s v="TIFFANY - TTP"/>
    <x v="14"/>
    <x v="10"/>
    <x v="15"/>
    <x v="0"/>
    <n v="26176000"/>
    <n v="1120.5479452054794"/>
  </r>
  <r>
    <d v="2021-05-16T00:00:00"/>
    <x v="0"/>
    <s v="TIFFANY - TTP"/>
    <x v="15"/>
    <x v="11"/>
    <x v="16"/>
    <x v="0"/>
    <n v="86652000"/>
    <n v="3709.4178082191779"/>
  </r>
  <r>
    <d v="2021-05-16T00:00:00"/>
    <x v="0"/>
    <s v="TIFFANY - TTP"/>
    <x v="16"/>
    <x v="11"/>
    <x v="16"/>
    <x v="0"/>
    <n v="8666000"/>
    <n v="370.97602739726028"/>
  </r>
  <r>
    <d v="2021-05-16T00:00:00"/>
    <x v="0"/>
    <s v="TIFFANY - TTP"/>
    <x v="17"/>
    <x v="11"/>
    <x v="16"/>
    <x v="0"/>
    <n v="5958000"/>
    <n v="255.05136986301369"/>
  </r>
  <r>
    <d v="2021-05-16T00:00:00"/>
    <x v="1"/>
    <s v="TIFFANY - TTP"/>
    <x v="2"/>
    <x v="12"/>
    <x v="17"/>
    <x v="0"/>
    <n v="6229000"/>
    <n v="266.65239726027397"/>
  </r>
  <r>
    <d v="2021-05-16T00:00:00"/>
    <x v="1"/>
    <s v="TIFFANY - TTP"/>
    <x v="18"/>
    <x v="13"/>
    <x v="18"/>
    <x v="0"/>
    <n v="2618000"/>
    <n v="112.07191780821918"/>
  </r>
  <r>
    <d v="2021-05-17T00:00:00"/>
    <x v="0"/>
    <s v="TIFFANY - TTP"/>
    <x v="19"/>
    <x v="14"/>
    <x v="19"/>
    <x v="0"/>
    <n v="40618000"/>
    <n v="1738.7842465753424"/>
  </r>
  <r>
    <d v="2021-05-17T00:00:00"/>
    <x v="0"/>
    <s v="TIFFANY - TTP"/>
    <x v="20"/>
    <x v="15"/>
    <x v="20"/>
    <x v="0"/>
    <n v="48742000"/>
    <n v="2086.5582191780823"/>
  </r>
  <r>
    <d v="2021-05-17T00:00:00"/>
    <x v="1"/>
    <s v="TIFFANY - TTP"/>
    <x v="21"/>
    <x v="16"/>
    <x v="21"/>
    <x v="0"/>
    <n v="35203000"/>
    <n v="1506.9777397260275"/>
  </r>
  <r>
    <d v="2021-05-17T00:00:00"/>
    <x v="1"/>
    <s v="TIFFANY - TTP"/>
    <x v="22"/>
    <x v="16"/>
    <x v="21"/>
    <x v="0"/>
    <n v="27982000"/>
    <n v="1197.8595890410959"/>
  </r>
  <r>
    <d v="2021-05-18T00:00:00"/>
    <x v="1"/>
    <s v="TIFFANY - TTP"/>
    <x v="23"/>
    <x v="17"/>
    <x v="22"/>
    <x v="0"/>
    <n v="5416000"/>
    <n v="231.84931506849315"/>
  </r>
  <r>
    <d v="2021-05-18T00:00:00"/>
    <x v="0"/>
    <s v="TIFFANY - TTP"/>
    <x v="24"/>
    <x v="18"/>
    <x v="23"/>
    <x v="0"/>
    <n v="76723000"/>
    <n v="3284.375"/>
  </r>
  <r>
    <d v="2021-05-18T00:00:00"/>
    <x v="0"/>
    <s v="TIFFANY - TTP"/>
    <x v="16"/>
    <x v="18"/>
    <x v="23"/>
    <x v="0"/>
    <n v="8666000"/>
    <n v="370.97602739726028"/>
  </r>
  <r>
    <d v="2021-05-18T00:00:00"/>
    <x v="0"/>
    <s v="TIFFANY - TTP"/>
    <x v="25"/>
    <x v="18"/>
    <x v="23"/>
    <x v="0"/>
    <n v="80333000"/>
    <n v="3438.9126712328766"/>
  </r>
  <r>
    <d v="2021-05-18T00:00:00"/>
    <x v="0"/>
    <s v="TIFFANY - TTP"/>
    <x v="26"/>
    <x v="18"/>
    <x v="23"/>
    <x v="0"/>
    <n v="7402000"/>
    <n v="316.86643835616439"/>
  </r>
  <r>
    <d v="2021-05-18T00:00:00"/>
    <x v="0"/>
    <s v="TIFFANY - TTP"/>
    <x v="27"/>
    <x v="18"/>
    <x v="23"/>
    <x v="0"/>
    <n v="7402000"/>
    <n v="316.86643835616439"/>
  </r>
  <r>
    <d v="2021-05-18T00:00:00"/>
    <x v="0"/>
    <s v="TIFFANY - TTP"/>
    <x v="28"/>
    <x v="19"/>
    <x v="24"/>
    <x v="0"/>
    <n v="6229000"/>
    <n v="266.65239726027397"/>
  </r>
  <r>
    <d v="2021-05-19T00:00:00"/>
    <x v="1"/>
    <s v="TIFFANY - TTP"/>
    <x v="29"/>
    <x v="20"/>
    <x v="25"/>
    <x v="0"/>
    <n v="11554000"/>
    <n v="494.60616438356163"/>
  </r>
  <r>
    <d v="2021-05-19T00:00:00"/>
    <x v="1"/>
    <s v="TIFFANY - TTP"/>
    <x v="30"/>
    <x v="21"/>
    <x v="26"/>
    <x v="0"/>
    <n v="11464000"/>
    <n v="490.75342465753425"/>
  </r>
  <r>
    <d v="2021-05-19T00:00:00"/>
    <x v="1"/>
    <s v="TIFFANY - TTP"/>
    <x v="31"/>
    <x v="21"/>
    <x v="26"/>
    <x v="0"/>
    <n v="6229000"/>
    <n v="266.65239726027397"/>
  </r>
  <r>
    <d v="2021-05-20T00:00:00"/>
    <x v="1"/>
    <s v="TIFFANY - TTP"/>
    <x v="0"/>
    <x v="22"/>
    <x v="27"/>
    <x v="0"/>
    <n v="5416000"/>
    <n v="231.84931506849315"/>
  </r>
  <r>
    <d v="2021-05-20T00:00:00"/>
    <x v="1"/>
    <s v="TIFFANY - TTP"/>
    <x v="32"/>
    <x v="23"/>
    <x v="28"/>
    <x v="0"/>
    <n v="37008000"/>
    <n v="1584.2465753424658"/>
  </r>
  <r>
    <d v="2021-05-22T00:00:00"/>
    <x v="1"/>
    <s v="TIFFANY - TTP"/>
    <x v="33"/>
    <x v="24"/>
    <x v="29"/>
    <x v="0"/>
    <n v="36105000"/>
    <n v="1545.5907534246576"/>
  </r>
  <r>
    <d v="2021-05-22T00:00:00"/>
    <x v="1"/>
    <s v="TIFFANY - TTP"/>
    <x v="34"/>
    <x v="25"/>
    <x v="30"/>
    <x v="0"/>
    <n v="56865000"/>
    <n v="2434.2893835616437"/>
  </r>
  <r>
    <d v="2021-05-22T00:00:00"/>
    <x v="1"/>
    <s v="TIFFANY - TTP"/>
    <x v="35"/>
    <x v="26"/>
    <x v="31"/>
    <x v="0"/>
    <n v="26176000"/>
    <n v="1120.5479452054794"/>
  </r>
  <r>
    <d v="2021-05-22T00:00:00"/>
    <x v="0"/>
    <s v="TIFFANY - TTP"/>
    <x v="36"/>
    <x v="27"/>
    <x v="32"/>
    <x v="0"/>
    <n v="55060000"/>
    <n v="2357.0205479452056"/>
  </r>
  <r>
    <d v="2021-05-22T00:00:00"/>
    <x v="0"/>
    <s v="TIFFANY - TTP"/>
    <x v="37"/>
    <x v="27"/>
    <x v="32"/>
    <x v="0"/>
    <n v="103801000"/>
    <n v="4443.53595890411"/>
  </r>
  <r>
    <d v="2021-05-22T00:00:00"/>
    <x v="1"/>
    <s v="TIFFANY - TTP"/>
    <x v="38"/>
    <x v="28"/>
    <x v="33"/>
    <x v="0"/>
    <n v="5416000"/>
    <n v="231.84931506849315"/>
  </r>
  <r>
    <d v="2021-05-22T00:00:00"/>
    <x v="0"/>
    <s v="TIFFANY - TTP"/>
    <x v="39"/>
    <x v="29"/>
    <x v="34"/>
    <x v="0"/>
    <n v="83041000"/>
    <n v="3554.8373287671234"/>
  </r>
  <r>
    <d v="2021-05-22T00:00:00"/>
    <x v="0"/>
    <s v="TIFFANY - TTP"/>
    <x v="40"/>
    <x v="29"/>
    <x v="34"/>
    <x v="0"/>
    <n v="8666000"/>
    <n v="370.97602739726028"/>
  </r>
  <r>
    <d v="2021-05-22T00:00:00"/>
    <x v="0"/>
    <s v="TIFFANY - TTP"/>
    <x v="41"/>
    <x v="29"/>
    <x v="34"/>
    <x v="0"/>
    <n v="67697000"/>
    <n v="2897.9880136986303"/>
  </r>
  <r>
    <d v="2021-05-22T00:00:00"/>
    <x v="1"/>
    <s v="TIFFANY - TTP"/>
    <x v="21"/>
    <x v="30"/>
    <x v="35"/>
    <x v="0"/>
    <n v="35203000"/>
    <n v="1506.9777397260275"/>
  </r>
  <r>
    <d v="2021-05-22T00:00:00"/>
    <x v="1"/>
    <s v="TIFFANY - TTP"/>
    <x v="42"/>
    <x v="30"/>
    <x v="35"/>
    <x v="0"/>
    <n v="34300000"/>
    <n v="1468.3219178082193"/>
  </r>
  <r>
    <d v="2021-05-22T00:00:00"/>
    <x v="0"/>
    <s v="TIFFANY - TTP"/>
    <x v="43"/>
    <x v="31"/>
    <x v="36"/>
    <x v="0"/>
    <n v="43326000"/>
    <n v="1854.708904109589"/>
  </r>
  <r>
    <d v="2021-05-22T00:00:00"/>
    <x v="0"/>
    <s v="TIFFANY - TTP"/>
    <x v="44"/>
    <x v="31"/>
    <x v="36"/>
    <x v="0"/>
    <n v="43326000"/>
    <n v="1854.708904109589"/>
  </r>
  <r>
    <d v="2021-05-22T00:00:00"/>
    <x v="1"/>
    <s v="TIFFANY - TTP"/>
    <x v="45"/>
    <x v="32"/>
    <x v="37"/>
    <x v="0"/>
    <n v="12366000"/>
    <n v="529.36643835616439"/>
  </r>
  <r>
    <d v="2021-05-23T00:00:00"/>
    <x v="0"/>
    <s v="TIFFANY - TTP"/>
    <x v="46"/>
    <x v="33"/>
    <x v="38"/>
    <x v="0"/>
    <n v="13630000"/>
    <n v="583.47602739726028"/>
  </r>
  <r>
    <d v="2021-05-23T00:00:00"/>
    <x v="0"/>
    <s v="TIFFANY - TTP"/>
    <x v="47"/>
    <x v="34"/>
    <x v="39"/>
    <x v="0"/>
    <n v="22566000"/>
    <n v="966.0102739726027"/>
  </r>
  <r>
    <d v="2021-05-23T00:00:00"/>
    <x v="0"/>
    <s v="TIFFANY - TTP"/>
    <x v="33"/>
    <x v="34"/>
    <x v="39"/>
    <x v="0"/>
    <n v="36105000"/>
    <n v="1545.5907534246576"/>
  </r>
  <r>
    <d v="2021-05-23T00:00:00"/>
    <x v="0"/>
    <s v="TIFFANY - TTP"/>
    <x v="48"/>
    <x v="27"/>
    <x v="40"/>
    <x v="0"/>
    <n v="48742000"/>
    <n v="2086.5582191780823"/>
  </r>
  <r>
    <d v="2021-05-23T00:00:00"/>
    <x v="1"/>
    <s v="TIFFANY - TTP"/>
    <x v="49"/>
    <x v="35"/>
    <x v="41"/>
    <x v="0"/>
    <n v="8124000"/>
    <n v="347.77397260273972"/>
  </r>
  <r>
    <d v="2021-05-23T00:00:00"/>
    <x v="1"/>
    <s v="TIFFANY - TTP"/>
    <x v="50"/>
    <x v="36"/>
    <x v="42"/>
    <x v="0"/>
    <n v="24371000"/>
    <n v="1043.2791095890411"/>
  </r>
  <r>
    <d v="2021-05-23T00:00:00"/>
    <x v="1"/>
    <s v="TIFFANY - TTP"/>
    <x v="51"/>
    <x v="36"/>
    <x v="43"/>
    <x v="0"/>
    <n v="24371000"/>
    <n v="1043.2791095890411"/>
  </r>
  <r>
    <d v="2021-05-23T00:00:00"/>
    <x v="1"/>
    <s v="TIFFANY - TTP"/>
    <x v="30"/>
    <x v="37"/>
    <x v="44"/>
    <x v="0"/>
    <n v="11464000"/>
    <n v="490.75342465753425"/>
  </r>
  <r>
    <d v="2021-05-23T00:00:00"/>
    <x v="0"/>
    <s v="TIFFANY - TTP"/>
    <x v="52"/>
    <x v="38"/>
    <x v="45"/>
    <x v="0"/>
    <n v="34300000"/>
    <n v="1468.3219178082193"/>
  </r>
  <r>
    <d v="2021-05-23T00:00:00"/>
    <x v="0"/>
    <s v="TIFFANY - TTP"/>
    <x v="53"/>
    <x v="38"/>
    <x v="45"/>
    <x v="0"/>
    <n v="55060000"/>
    <n v="2357.0205479452056"/>
  </r>
  <r>
    <d v="2021-05-23T00:00:00"/>
    <x v="0"/>
    <s v="TIFFANY - TTP"/>
    <x v="54"/>
    <x v="38"/>
    <x v="45"/>
    <x v="0"/>
    <n v="48742000"/>
    <n v="2086.5582191780823"/>
  </r>
  <r>
    <d v="2021-05-23T00:00:00"/>
    <x v="3"/>
    <s v="TIFFANY - TTP"/>
    <x v="55"/>
    <x v="39"/>
    <x v="46"/>
    <x v="0"/>
    <n v="11464000"/>
    <n v="490.75342465753425"/>
  </r>
  <r>
    <d v="2021-05-24T00:00:00"/>
    <x v="0"/>
    <s v="TIFFANY - TTP"/>
    <x v="56"/>
    <x v="40"/>
    <x v="47"/>
    <x v="0"/>
    <n v="126367000"/>
    <n v="5409.5462328767126"/>
  </r>
  <r>
    <d v="2021-05-24T00:00:00"/>
    <x v="0"/>
    <s v="TIFFANY - TTP"/>
    <x v="57"/>
    <x v="40"/>
    <x v="47"/>
    <x v="0"/>
    <n v="31592000"/>
    <n v="1352.3972602739725"/>
  </r>
  <r>
    <d v="2021-05-24T00:00:00"/>
    <x v="0"/>
    <s v="TIFFANY - TTP"/>
    <x v="58"/>
    <x v="41"/>
    <x v="48"/>
    <x v="0"/>
    <n v="19858000"/>
    <n v="850.08561643835617"/>
  </r>
  <r>
    <d v="2021-05-25T00:00:00"/>
    <x v="0"/>
    <s v="TIFFANY - TTP"/>
    <x v="59"/>
    <x v="42"/>
    <x v="49"/>
    <x v="0"/>
    <n v="109217000"/>
    <n v="4675.3852739726026"/>
  </r>
  <r>
    <d v="2021-05-25T00:00:00"/>
    <x v="0"/>
    <s v="TIFFANY - TTP"/>
    <x v="60"/>
    <x v="42"/>
    <x v="49"/>
    <x v="0"/>
    <n v="43326000"/>
    <n v="1854.708904109589"/>
  </r>
  <r>
    <d v="2021-05-26T00:00:00"/>
    <x v="4"/>
    <s v="TIFFANY - TTP"/>
    <x v="61"/>
    <x v="43"/>
    <x v="50"/>
    <x v="0"/>
    <n v="26176000"/>
    <n v="1120.5479452054794"/>
  </r>
  <r>
    <d v="2021-05-26T00:00:00"/>
    <x v="4"/>
    <s v="TIFFANY - TTP"/>
    <x v="62"/>
    <x v="43"/>
    <x v="50"/>
    <x v="0"/>
    <n v="68599000"/>
    <n v="2936.6010273972602"/>
  </r>
  <r>
    <d v="2021-05-27T00:00:00"/>
    <x v="0"/>
    <s v="TIFFANY - TTP"/>
    <x v="63"/>
    <x v="44"/>
    <x v="51"/>
    <x v="0"/>
    <n v="617390000"/>
    <n v="26429.366438356163"/>
  </r>
  <r>
    <d v="2021-05-27T00:00:00"/>
    <x v="0"/>
    <s v="TIFFANY - TTP"/>
    <x v="40"/>
    <x v="45"/>
    <x v="52"/>
    <x v="0"/>
    <n v="8666000"/>
    <n v="370.97602739726028"/>
  </r>
  <r>
    <d v="2021-05-27T00:00:00"/>
    <x v="0"/>
    <s v="TIFFANY - TTP"/>
    <x v="64"/>
    <x v="45"/>
    <x v="52"/>
    <x v="0"/>
    <n v="145322000"/>
    <n v="6220.9760273972606"/>
  </r>
  <r>
    <d v="2021-05-27T00:00:00"/>
    <x v="0"/>
    <s v="TIFFANY - TTP"/>
    <x v="65"/>
    <x v="46"/>
    <x v="53"/>
    <x v="0"/>
    <n v="48742000"/>
    <n v="2086.5582191780823"/>
  </r>
  <r>
    <d v="2021-05-27T00:00:00"/>
    <x v="0"/>
    <s v="TIFFANY - TTP"/>
    <x v="66"/>
    <x v="46"/>
    <x v="54"/>
    <x v="0"/>
    <n v="285227000"/>
    <n v="12210.059931506848"/>
  </r>
  <r>
    <d v="2021-05-27T00:00:00"/>
    <x v="0"/>
    <s v="TIFFANY - TTP"/>
    <x v="67"/>
    <x v="46"/>
    <x v="55"/>
    <x v="0"/>
    <n v="64989000"/>
    <n v="2782.0633561643835"/>
  </r>
  <r>
    <d v="2021-05-28T00:00:00"/>
    <x v="0"/>
    <s v="TIFFANY - TTP"/>
    <x v="68"/>
    <x v="47"/>
    <x v="56"/>
    <x v="0"/>
    <n v="64989000"/>
    <n v="2782.0633561643835"/>
  </r>
  <r>
    <d v="2021-05-28T00:00:00"/>
    <x v="0"/>
    <s v="TIFFANY - TTP"/>
    <x v="69"/>
    <x v="48"/>
    <x v="57"/>
    <x v="0"/>
    <n v="328553000"/>
    <n v="14064.768835616438"/>
  </r>
  <r>
    <d v="2021-05-28T00:00:00"/>
    <x v="0"/>
    <s v="TIFFANY - TTP"/>
    <x v="70"/>
    <x v="49"/>
    <x v="58"/>
    <x v="0"/>
    <n v="19858000"/>
    <n v="850.08561643835617"/>
  </r>
  <r>
    <d v="2021-05-28T00:00:00"/>
    <x v="0"/>
    <s v="TIFFANY - TTP"/>
    <x v="40"/>
    <x v="49"/>
    <x v="58"/>
    <x v="0"/>
    <n v="8666000"/>
    <n v="370.97602739726028"/>
  </r>
  <r>
    <d v="2021-05-28T00:00:00"/>
    <x v="0"/>
    <s v="TIFFANY - TTP"/>
    <x v="71"/>
    <x v="49"/>
    <x v="58"/>
    <x v="0"/>
    <n v="24371000"/>
    <n v="1043.2791095890411"/>
  </r>
  <r>
    <d v="2021-05-29T00:00:00"/>
    <x v="1"/>
    <s v="TIFFANY - TTP"/>
    <x v="72"/>
    <x v="50"/>
    <x v="59"/>
    <x v="0"/>
    <n v="26176000"/>
    <n v="1120.5479452054794"/>
  </r>
  <r>
    <d v="2021-05-29T00:00:00"/>
    <x v="0"/>
    <s v="TIFFANY - TTP"/>
    <x v="73"/>
    <x v="51"/>
    <x v="60"/>
    <x v="0"/>
    <n v="60476000"/>
    <n v="2588.8698630136987"/>
  </r>
  <r>
    <d v="2021-05-29T00:00:00"/>
    <x v="0"/>
    <s v="TIFFANY - TTP"/>
    <x v="74"/>
    <x v="51"/>
    <x v="60"/>
    <x v="0"/>
    <n v="46034000"/>
    <n v="1970.6335616438357"/>
  </r>
  <r>
    <d v="2021-05-29T00:00:00"/>
    <x v="0"/>
    <s v="TIFFANY - TTP"/>
    <x v="75"/>
    <x v="51"/>
    <x v="60"/>
    <x v="0"/>
    <n v="79431000"/>
    <n v="3400.2996575342468"/>
  </r>
  <r>
    <d v="2021-05-30T00:00:00"/>
    <x v="1"/>
    <s v="TIFFANY - TTP"/>
    <x v="76"/>
    <x v="52"/>
    <x v="61"/>
    <x v="0"/>
    <n v="6680000"/>
    <n v="285.95890410958901"/>
  </r>
  <r>
    <d v="2021-05-30T00:00:00"/>
    <x v="1"/>
    <s v="TIFFANY - TTP"/>
    <x v="77"/>
    <x v="53"/>
    <x v="62"/>
    <x v="0"/>
    <n v="7402000"/>
    <n v="316.86643835616439"/>
  </r>
  <r>
    <d v="2021-05-30T00:00:00"/>
    <x v="1"/>
    <s v="TIFFANY - TTP"/>
    <x v="78"/>
    <x v="53"/>
    <x v="62"/>
    <x v="0"/>
    <n v="7402000"/>
    <n v="316.86643835616439"/>
  </r>
  <r>
    <d v="2021-05-30T00:00:00"/>
    <x v="1"/>
    <s v="TIFFANY - TTP"/>
    <x v="9"/>
    <x v="54"/>
    <x v="63"/>
    <x v="0"/>
    <n v="6229000"/>
    <n v="266.65239726027397"/>
  </r>
  <r>
    <d v="2021-05-30T00:00:00"/>
    <x v="1"/>
    <s v="TIFFANY - TTP"/>
    <x v="79"/>
    <x v="55"/>
    <x v="64"/>
    <x v="0"/>
    <n v="55060000"/>
    <n v="2357.0205479452056"/>
  </r>
  <r>
    <d v="2021-06-01T00:00:00"/>
    <x v="5"/>
    <s v="TIFFANY - TTP"/>
    <x v="80"/>
    <x v="56"/>
    <x v="65"/>
    <x v="0"/>
    <n v="37008000"/>
    <n v="1584.2465753424658"/>
  </r>
  <r>
    <d v="2021-06-01T00:00:00"/>
    <x v="5"/>
    <s v="TIFFANY - TTP"/>
    <x v="81"/>
    <x v="56"/>
    <x v="65"/>
    <x v="0"/>
    <n v="8666000"/>
    <n v="370.97602739726028"/>
  </r>
  <r>
    <d v="2021-06-02T00:00:00"/>
    <x v="0"/>
    <s v="TIFFANY - TTP"/>
    <x v="82"/>
    <x v="57"/>
    <x v="66"/>
    <x v="0"/>
    <n v="92067000"/>
    <n v="3941.2243150684931"/>
  </r>
  <r>
    <d v="2021-06-05T00:00:00"/>
    <x v="1"/>
    <s v="TIFFANY - TTP"/>
    <x v="83"/>
    <x v="58"/>
    <x v="67"/>
    <x v="0"/>
    <n v="33397000"/>
    <n v="1429.666095890411"/>
  </r>
  <r>
    <d v="2021-06-05T00:00:00"/>
    <x v="1"/>
    <s v="TIFFANY - TTP"/>
    <x v="84"/>
    <x v="58"/>
    <x v="67"/>
    <x v="0"/>
    <n v="14081000"/>
    <n v="602.78253424657532"/>
  </r>
  <r>
    <d v="2021-06-06T00:00:00"/>
    <x v="0"/>
    <s v="TIFFANY - TTP"/>
    <x v="85"/>
    <x v="59"/>
    <x v="68"/>
    <x v="0"/>
    <n v="14713000"/>
    <n v="629.83732876712327"/>
  </r>
  <r>
    <d v="2021-06-06T00:00:00"/>
    <x v="1"/>
    <s v="TIFFANY - TTP"/>
    <x v="86"/>
    <x v="60"/>
    <x v="69"/>
    <x v="0"/>
    <n v="5416000"/>
    <n v="231.84931506849315"/>
  </r>
  <r>
    <d v="2021-06-06T00:00:00"/>
    <x v="1"/>
    <s v="TIFFANY - TTP"/>
    <x v="87"/>
    <x v="61"/>
    <x v="70"/>
    <x v="0"/>
    <n v="33397000"/>
    <n v="1429.666095890411"/>
  </r>
  <r>
    <d v="2021-06-06T00:00:00"/>
    <x v="1"/>
    <s v="TIFFANY - TTP"/>
    <x v="81"/>
    <x v="61"/>
    <x v="70"/>
    <x v="0"/>
    <n v="8666000"/>
    <n v="370.97602739726028"/>
  </r>
  <r>
    <d v="2021-06-09T00:00:00"/>
    <x v="0"/>
    <s v="TIFFANY - TTP"/>
    <x v="88"/>
    <x v="62"/>
    <x v="71"/>
    <x v="0"/>
    <n v="22566000"/>
    <n v="966.0102739726027"/>
  </r>
  <r>
    <d v="2021-06-09T00:00:00"/>
    <x v="0"/>
    <s v="TIFFANY - TTP"/>
    <x v="89"/>
    <x v="59"/>
    <x v="72"/>
    <x v="0"/>
    <n v="11554000"/>
    <n v="494.60616438356163"/>
  </r>
  <r>
    <d v="2021-06-09T00:00:00"/>
    <x v="1"/>
    <s v="TIFFANY - TTP"/>
    <x v="90"/>
    <x v="63"/>
    <x v="73"/>
    <x v="0"/>
    <n v="6229000"/>
    <n v="266.65239726027397"/>
  </r>
  <r>
    <d v="2021-06-09T00:00:00"/>
    <x v="1"/>
    <s v="TIFFANY - TTP"/>
    <x v="90"/>
    <x v="64"/>
    <x v="74"/>
    <x v="0"/>
    <n v="6229000"/>
    <n v="266.65239726027397"/>
  </r>
  <r>
    <d v="2021-06-11T00:00:00"/>
    <x v="1"/>
    <s v="TIFFANY - TTP"/>
    <x v="91"/>
    <x v="65"/>
    <x v="75"/>
    <x v="0"/>
    <n v="65892000"/>
    <n v="2820.7191780821918"/>
  </r>
  <r>
    <d v="2021-06-11T00:00:00"/>
    <x v="1"/>
    <s v="TIFFANY - TTP"/>
    <x v="90"/>
    <x v="66"/>
    <x v="76"/>
    <x v="0"/>
    <n v="6229000"/>
    <n v="266.65239726027397"/>
  </r>
  <r>
    <d v="2021-06-12T00:00:00"/>
    <x v="1"/>
    <s v="TIFFANY - TTP"/>
    <x v="7"/>
    <x v="67"/>
    <x v="77"/>
    <x v="0"/>
    <n v="6229000"/>
    <n v="266.65239726027397"/>
  </r>
  <r>
    <d v="2021-06-12T00:00:00"/>
    <x v="0"/>
    <s v="TIFFANY - TTP"/>
    <x v="92"/>
    <x v="68"/>
    <x v="78"/>
    <x v="0"/>
    <n v="184134000"/>
    <n v="7882.4486301369861"/>
  </r>
  <r>
    <d v="2021-06-12T00:00:00"/>
    <x v="1"/>
    <s v="TIFFANY - TTP"/>
    <x v="86"/>
    <x v="69"/>
    <x v="79"/>
    <x v="0"/>
    <n v="5416000"/>
    <n v="231.84931506849315"/>
  </r>
  <r>
    <d v="2021-06-13T00:00:00"/>
    <x v="1"/>
    <s v="TIFFANY - TTP"/>
    <x v="31"/>
    <x v="70"/>
    <x v="80"/>
    <x v="0"/>
    <n v="6229000"/>
    <n v="266.65239726027397"/>
  </r>
  <r>
    <d v="2021-06-13T00:00:00"/>
    <x v="1"/>
    <s v="TIFFANY - TTP"/>
    <x v="72"/>
    <x v="71"/>
    <x v="81"/>
    <x v="0"/>
    <n v="26176000"/>
    <n v="1120.5479452054794"/>
  </r>
  <r>
    <d v="2021-06-15T00:00:00"/>
    <x v="1"/>
    <s v="TIFFANY - TTP"/>
    <x v="93"/>
    <x v="72"/>
    <x v="82"/>
    <x v="0"/>
    <n v="60476000"/>
    <n v="2588.8698630136987"/>
  </r>
  <r>
    <d v="2021-06-17T00:00:00"/>
    <x v="0"/>
    <s v="TIFFANY - TTP"/>
    <x v="10"/>
    <x v="73"/>
    <x v="83"/>
    <x v="0"/>
    <n v="6229000"/>
    <n v="266.65239726027397"/>
  </r>
  <r>
    <d v="2021-06-17T00:00:00"/>
    <x v="0"/>
    <s v="TIFFANY - TTP"/>
    <x v="84"/>
    <x v="74"/>
    <x v="84"/>
    <x v="0"/>
    <n v="14803000"/>
    <n v="633.69006849315065"/>
  </r>
  <r>
    <d v="2021-06-17T00:00:00"/>
    <x v="0"/>
    <s v="TIFFANY - TTP"/>
    <x v="94"/>
    <x v="74"/>
    <x v="84"/>
    <x v="0"/>
    <n v="150738000"/>
    <n v="6452.8253424657532"/>
  </r>
  <r>
    <d v="2021-06-18T00:00:00"/>
    <x v="1"/>
    <s v="TIFFANY - TTP"/>
    <x v="95"/>
    <x v="75"/>
    <x v="85"/>
    <x v="0"/>
    <n v="68599000"/>
    <n v="2936.6010273972602"/>
  </r>
  <r>
    <d v="2021-06-18T00:00:00"/>
    <x v="1"/>
    <s v="TIFFANY - TTP"/>
    <x v="16"/>
    <x v="75"/>
    <x v="85"/>
    <x v="0"/>
    <n v="9388000"/>
    <n v="401.88356164383561"/>
  </r>
  <r>
    <d v="2021-06-18T00:00:00"/>
    <x v="0"/>
    <s v="TIFFANY - TTP"/>
    <x v="96"/>
    <x v="76"/>
    <x v="86"/>
    <x v="0"/>
    <n v="55963000"/>
    <n v="2395.6763698630139"/>
  </r>
  <r>
    <d v="2021-06-18T00:00:00"/>
    <x v="0"/>
    <s v="TIFFANY - TTP"/>
    <x v="97"/>
    <x v="76"/>
    <x v="86"/>
    <x v="0"/>
    <n v="55963000"/>
    <n v="2395.6763698630139"/>
  </r>
  <r>
    <d v="2021-06-19T00:00:00"/>
    <x v="2"/>
    <s v="TIFFANY - TTP"/>
    <x v="98"/>
    <x v="77"/>
    <x v="87"/>
    <x v="0"/>
    <n v="6229000"/>
    <n v="266.65239726027397"/>
  </r>
  <r>
    <d v="2021-06-19T00:00:00"/>
    <x v="2"/>
    <s v="TIFFANY - TTP"/>
    <x v="99"/>
    <x v="78"/>
    <x v="88"/>
    <x v="0"/>
    <n v="60476000"/>
    <n v="2588.8698630136987"/>
  </r>
  <r>
    <d v="2021-06-20T00:00:00"/>
    <x v="1"/>
    <s v="TIFFANY - TTP"/>
    <x v="100"/>
    <x v="79"/>
    <x v="89"/>
    <x v="0"/>
    <n v="11464000"/>
    <n v="490.75342465753425"/>
  </r>
  <r>
    <d v="2021-06-20T00:00:00"/>
    <x v="0"/>
    <s v="TIFFANY - TTP"/>
    <x v="2"/>
    <x v="80"/>
    <x v="90"/>
    <x v="0"/>
    <n v="6229000"/>
    <n v="266.65239726027397"/>
  </r>
  <r>
    <d v="2021-06-20T00:00:00"/>
    <x v="2"/>
    <s v="TIFFANY - TTP"/>
    <x v="101"/>
    <x v="81"/>
    <x v="91"/>
    <x v="0"/>
    <n v="86652000"/>
    <n v="3709.4178082191779"/>
  </r>
  <r>
    <d v="2021-06-20T00:00:00"/>
    <x v="2"/>
    <s v="TIFFANY - TTP"/>
    <x v="102"/>
    <x v="81"/>
    <x v="91"/>
    <x v="0"/>
    <n v="43326000"/>
    <n v="1854.708904109589"/>
  </r>
  <r>
    <d v="2021-06-21T00:00:00"/>
    <x v="1"/>
    <s v="TIFFANY - TTP"/>
    <x v="103"/>
    <x v="82"/>
    <x v="92"/>
    <x v="0"/>
    <n v="6229000"/>
    <n v="266.65239726027397"/>
  </r>
  <r>
    <d v="2021-06-22T00:00:00"/>
    <x v="1"/>
    <s v="TIFFANY - TTP"/>
    <x v="90"/>
    <x v="83"/>
    <x v="93"/>
    <x v="0"/>
    <n v="6229000"/>
    <n v="266.65239726027397"/>
  </r>
  <r>
    <d v="2021-06-22T00:00:00"/>
    <x v="1"/>
    <s v="TIFFANY - TTP"/>
    <x v="38"/>
    <x v="83"/>
    <x v="93"/>
    <x v="0"/>
    <n v="5416000"/>
    <n v="231.84931506849315"/>
  </r>
  <r>
    <d v="2021-06-22T00:00:00"/>
    <x v="0"/>
    <s v="TIFFANY - TTP"/>
    <x v="104"/>
    <x v="84"/>
    <x v="94"/>
    <x v="0"/>
    <n v="72210000"/>
    <n v="3091.1815068493152"/>
  </r>
  <r>
    <d v="2021-06-22T00:00:00"/>
    <x v="0"/>
    <s v="TIFFANY - TTP"/>
    <x v="6"/>
    <x v="84"/>
    <x v="95"/>
    <x v="0"/>
    <n v="114633000"/>
    <n v="4907.2345890410961"/>
  </r>
  <r>
    <d v="2021-06-22T00:00:00"/>
    <x v="5"/>
    <s v="TIFFANY - TTP"/>
    <x v="105"/>
    <x v="85"/>
    <x v="96"/>
    <x v="0"/>
    <n v="10832000"/>
    <n v="463.69863013698631"/>
  </r>
  <r>
    <d v="2021-06-23T00:00:00"/>
    <x v="0"/>
    <s v="TIFFANY - TTP"/>
    <x v="106"/>
    <x v="86"/>
    <x v="97"/>
    <x v="0"/>
    <n v="80333000"/>
    <n v="3438.9126712328766"/>
  </r>
  <r>
    <d v="2021-06-23T00:00:00"/>
    <x v="0"/>
    <s v="TIFFANY - TTP"/>
    <x v="107"/>
    <x v="86"/>
    <x v="97"/>
    <x v="0"/>
    <n v="200381000"/>
    <n v="8577.9537671232883"/>
  </r>
  <r>
    <d v="2021-06-25T00:00:00"/>
    <x v="1"/>
    <s v="TIFFANY - TTP"/>
    <x v="108"/>
    <x v="87"/>
    <x v="98"/>
    <x v="0"/>
    <n v="40618000"/>
    <n v="1738.7842465753424"/>
  </r>
  <r>
    <d v="2021-06-25T00:00:00"/>
    <x v="0"/>
    <s v="TIFFANY - TTP"/>
    <x v="109"/>
    <x v="29"/>
    <x v="99"/>
    <x v="0"/>
    <n v="92067000"/>
    <n v="3941.2243150684931"/>
  </r>
  <r>
    <d v="2021-06-25T00:00:00"/>
    <x v="0"/>
    <s v="TIFFANY - TTP"/>
    <x v="81"/>
    <x v="29"/>
    <x v="99"/>
    <x v="0"/>
    <n v="9388000"/>
    <n v="401.88356164383561"/>
  </r>
  <r>
    <d v="2021-06-25T00:00:00"/>
    <x v="1"/>
    <s v="TIFFANY - TTP"/>
    <x v="90"/>
    <x v="88"/>
    <x v="100"/>
    <x v="0"/>
    <n v="6229000"/>
    <n v="266.65239726027397"/>
  </r>
  <r>
    <d v="2021-06-26T00:00:00"/>
    <x v="1"/>
    <s v="TIFFANY - TTP"/>
    <x v="110"/>
    <x v="89"/>
    <x v="101"/>
    <x v="0"/>
    <n v="11554000"/>
    <n v="494.60616438356163"/>
  </r>
  <r>
    <d v="2021-06-26T00:00:00"/>
    <x v="1"/>
    <s v="TIFFANY - TTP"/>
    <x v="111"/>
    <x v="90"/>
    <x v="102"/>
    <x v="0"/>
    <n v="5416000"/>
    <n v="231.84931506849315"/>
  </r>
  <r>
    <d v="2021-06-26T00:00:00"/>
    <x v="0"/>
    <s v="TIFFANY - TTP"/>
    <x v="112"/>
    <x v="91"/>
    <x v="103"/>
    <x v="0"/>
    <n v="86652000"/>
    <n v="3709.4178082191779"/>
  </r>
  <r>
    <d v="2021-06-26T00:00:00"/>
    <x v="0"/>
    <s v="TIFFANY - TTP"/>
    <x v="113"/>
    <x v="91"/>
    <x v="103"/>
    <x v="0"/>
    <n v="86652000"/>
    <n v="3709.4178082191779"/>
  </r>
  <r>
    <d v="2021-06-26T00:00:00"/>
    <x v="1"/>
    <s v="TIFFANY - TTP"/>
    <x v="114"/>
    <x v="92"/>
    <x v="104"/>
    <x v="0"/>
    <n v="26176000"/>
    <n v="1120.5479452054794"/>
  </r>
  <r>
    <d v="2021-06-27T00:00:00"/>
    <x v="1"/>
    <s v="TIFFANY - TTP"/>
    <x v="115"/>
    <x v="93"/>
    <x v="105"/>
    <x v="0"/>
    <n v="8485000"/>
    <n v="363.22773972602738"/>
  </r>
  <r>
    <d v="2021-06-27T00:00:00"/>
    <x v="1"/>
    <s v="TIFFANY - TTP"/>
    <x v="86"/>
    <x v="94"/>
    <x v="106"/>
    <x v="0"/>
    <n v="5416000"/>
    <n v="231.84931506849315"/>
  </r>
  <r>
    <d v="2021-06-27T00:00:00"/>
    <x v="1"/>
    <s v="TIFFANY - TTP"/>
    <x v="2"/>
    <x v="94"/>
    <x v="106"/>
    <x v="0"/>
    <n v="6229000"/>
    <n v="266.65239726027397"/>
  </r>
  <r>
    <d v="2021-06-27T00:00:00"/>
    <x v="1"/>
    <s v="TIFFANY - TTP"/>
    <x v="38"/>
    <x v="94"/>
    <x v="106"/>
    <x v="0"/>
    <n v="5416000"/>
    <n v="231.84931506849315"/>
  </r>
  <r>
    <d v="2021-06-27T00:00:00"/>
    <x v="1"/>
    <s v="TIFFANY - TTP"/>
    <x v="98"/>
    <x v="95"/>
    <x v="107"/>
    <x v="0"/>
    <n v="6229000"/>
    <n v="266.65239726027397"/>
  </r>
  <r>
    <d v="2021-06-28T00:00:00"/>
    <x v="0"/>
    <s v="TIFFANY - TTP"/>
    <x v="116"/>
    <x v="18"/>
    <x v="108"/>
    <x v="0"/>
    <n v="15074000"/>
    <n v="645.29109589041093"/>
  </r>
  <r>
    <d v="2021-06-28T00:00:00"/>
    <x v="0"/>
    <s v="TIFFANY - TTP"/>
    <x v="117"/>
    <x v="18"/>
    <x v="108"/>
    <x v="0"/>
    <n v="81236000"/>
    <n v="3477.5684931506848"/>
  </r>
  <r>
    <d v="2021-06-28T00:00:00"/>
    <x v="0"/>
    <s v="TIFFANY - TTP"/>
    <x v="118"/>
    <x v="18"/>
    <x v="109"/>
    <x v="0"/>
    <n v="43326000"/>
    <n v="1854.708904109589"/>
  </r>
  <r>
    <d v="2021-06-28T00:00:00"/>
    <x v="0"/>
    <s v="TIFFANY - TTP"/>
    <x v="17"/>
    <x v="18"/>
    <x v="110"/>
    <x v="0"/>
    <n v="6680000"/>
    <n v="285.95890410958901"/>
  </r>
  <r>
    <d v="2021-06-28T00:00:00"/>
    <x v="0"/>
    <s v="TIFFANY - TTP"/>
    <x v="49"/>
    <x v="18"/>
    <x v="110"/>
    <x v="0"/>
    <n v="8124000"/>
    <n v="347.77397260273972"/>
  </r>
  <r>
    <d v="2021-06-28T00:00:00"/>
    <x v="1"/>
    <s v="TIFFANY - TTP"/>
    <x v="119"/>
    <x v="96"/>
    <x v="111"/>
    <x v="0"/>
    <n v="5958000"/>
    <n v="255.05136986301369"/>
  </r>
  <r>
    <d v="2021-06-29T00:00:00"/>
    <x v="0"/>
    <s v="TIFFANY - TTP"/>
    <x v="120"/>
    <x v="97"/>
    <x v="112"/>
    <x v="0"/>
    <n v="310501000"/>
    <n v="13291.994863013699"/>
  </r>
  <r>
    <d v="2021-06-29T00:00:00"/>
    <x v="0"/>
    <s v="TIFFANY - TTP"/>
    <x v="121"/>
    <x v="97"/>
    <x v="112"/>
    <x v="0"/>
    <n v="292448000"/>
    <n v="12519.17808219178"/>
  </r>
  <r>
    <d v="2021-06-29T00:00:00"/>
    <x v="2"/>
    <s v="TIFFANY - TTP"/>
    <x v="122"/>
    <x v="98"/>
    <x v="113"/>
    <x v="0"/>
    <n v="28884000"/>
    <n v="1236.472602739726"/>
  </r>
  <r>
    <d v="2021-06-29T00:00:00"/>
    <x v="1"/>
    <s v="TIFFANY - TTP"/>
    <x v="103"/>
    <x v="99"/>
    <x v="114"/>
    <x v="0"/>
    <n v="6229000"/>
    <n v="266.65239726027397"/>
  </r>
  <r>
    <d v="2021-06-29T00:00:00"/>
    <x v="1"/>
    <s v="TIFFANY - TTP"/>
    <x v="98"/>
    <x v="99"/>
    <x v="114"/>
    <x v="0"/>
    <n v="6229000"/>
    <n v="266.65239726027397"/>
  </r>
  <r>
    <d v="2021-06-29T00:00:00"/>
    <x v="3"/>
    <s v="TIFFANY - TTP"/>
    <x v="23"/>
    <x v="100"/>
    <x v="115"/>
    <x v="0"/>
    <n v="5416000"/>
    <n v="231.84931506849315"/>
  </r>
  <r>
    <d v="2021-06-30T00:00:00"/>
    <x v="1"/>
    <s v="TIFFANY - TTP"/>
    <x v="123"/>
    <x v="101"/>
    <x v="116"/>
    <x v="0"/>
    <n v="26176000"/>
    <n v="1120.5479452054794"/>
  </r>
  <r>
    <d v="2021-07-01T00:00:00"/>
    <x v="0"/>
    <s v="TIFFANY - TTP"/>
    <x v="124"/>
    <x v="102"/>
    <x v="117"/>
    <x v="0"/>
    <n v="209408000"/>
    <n v="8964.3835616438355"/>
  </r>
  <r>
    <d v="2021-07-01T00:00:00"/>
    <x v="0"/>
    <s v="TIFFANY - TTP"/>
    <x v="125"/>
    <x v="103"/>
    <x v="118"/>
    <x v="0"/>
    <n v="68599000"/>
    <n v="2936.6010273972602"/>
  </r>
  <r>
    <d v="2021-07-01T00:00:00"/>
    <x v="0"/>
    <s v="TIFFANY - TTP"/>
    <x v="126"/>
    <x v="103"/>
    <x v="118"/>
    <x v="0"/>
    <n v="36105000"/>
    <n v="1545.5907534246576"/>
  </r>
  <r>
    <d v="2021-07-01T00:00:00"/>
    <x v="0"/>
    <s v="TIFFANY - TTP"/>
    <x v="127"/>
    <x v="104"/>
    <x v="119"/>
    <x v="0"/>
    <n v="15526000"/>
    <n v="664.64041095890411"/>
  </r>
  <r>
    <d v="2021-07-01T00:00:00"/>
    <x v="0"/>
    <s v="TIFFANY - TTP"/>
    <x v="128"/>
    <x v="104"/>
    <x v="119"/>
    <x v="0"/>
    <n v="7402000"/>
    <n v="316.86643835616439"/>
  </r>
  <r>
    <d v="2021-07-01T00:00:00"/>
    <x v="0"/>
    <s v="TIFFANY - TTP"/>
    <x v="76"/>
    <x v="104"/>
    <x v="119"/>
    <x v="0"/>
    <n v="7402000"/>
    <n v="316.86643835616439"/>
  </r>
  <r>
    <d v="2021-07-03T00:00:00"/>
    <x v="1"/>
    <s v="TIFFANY - TTP"/>
    <x v="129"/>
    <x v="105"/>
    <x v="120"/>
    <x v="0"/>
    <n v="6951000"/>
    <n v="297.5599315068493"/>
  </r>
  <r>
    <d v="2021-07-03T00:00:00"/>
    <x v="2"/>
    <s v="TIFFANY - TTP"/>
    <x v="57"/>
    <x v="106"/>
    <x v="121"/>
    <x v="0"/>
    <n v="31592000"/>
    <n v="1352.3972602739725"/>
  </r>
  <r>
    <d v="2021-07-03T00:00:00"/>
    <x v="2"/>
    <s v="TIFFANY - TTP"/>
    <x v="130"/>
    <x v="107"/>
    <x v="122"/>
    <x v="0"/>
    <n v="86652000"/>
    <n v="3709.4178082191779"/>
  </r>
  <r>
    <d v="2021-07-03T00:00:00"/>
    <x v="2"/>
    <s v="TIFFANY - TTP"/>
    <x v="131"/>
    <x v="107"/>
    <x v="122"/>
    <x v="0"/>
    <n v="43326000"/>
    <n v="1854.708904109589"/>
  </r>
  <r>
    <d v="2021-07-03T00:00:00"/>
    <x v="1"/>
    <s v="TIFFANY - TTP"/>
    <x v="132"/>
    <x v="108"/>
    <x v="123"/>
    <x v="0"/>
    <n v="6229000"/>
    <n v="266.65239726027397"/>
  </r>
  <r>
    <d v="2021-07-03T00:00:00"/>
    <x v="0"/>
    <s v="TIFFANY - TTP"/>
    <x v="133"/>
    <x v="109"/>
    <x v="124"/>
    <x v="0"/>
    <n v="685989000"/>
    <n v="29365.967465753423"/>
  </r>
  <r>
    <d v="2021-07-03T00:00:00"/>
    <x v="1"/>
    <s v="TIFFANY - TTP"/>
    <x v="134"/>
    <x v="110"/>
    <x v="125"/>
    <x v="0"/>
    <n v="56865000"/>
    <n v="2434.2893835616437"/>
  </r>
  <r>
    <d v="2021-07-04T00:00:00"/>
    <x v="1"/>
    <s v="TIFFANY - TTP"/>
    <x v="103"/>
    <x v="111"/>
    <x v="126"/>
    <x v="0"/>
    <n v="6229000"/>
    <n v="266.65239726027397"/>
  </r>
  <r>
    <d v="2021-07-04T00:00:00"/>
    <x v="0"/>
    <s v="TIFFANY - TTP"/>
    <x v="135"/>
    <x v="112"/>
    <x v="127"/>
    <x v="0"/>
    <n v="43326000"/>
    <n v="1854.708904109589"/>
  </r>
  <r>
    <d v="2021-07-04T00:00:00"/>
    <x v="0"/>
    <s v="TIFFANY - TTP"/>
    <x v="136"/>
    <x v="112"/>
    <x v="127"/>
    <x v="0"/>
    <n v="7402000"/>
    <n v="316.86643835616439"/>
  </r>
  <r>
    <d v="2021-07-04T00:00:00"/>
    <x v="0"/>
    <s v="TIFFANY - TTP"/>
    <x v="137"/>
    <x v="112"/>
    <x v="127"/>
    <x v="0"/>
    <n v="62281000"/>
    <n v="2666.1386986301368"/>
  </r>
  <r>
    <d v="2021-07-05T00:00:00"/>
    <x v="0"/>
    <s v="TIFFANY - TTP"/>
    <x v="138"/>
    <x v="113"/>
    <x v="128"/>
    <x v="0"/>
    <n v="17240000"/>
    <n v="738.01369863013701"/>
  </r>
  <r>
    <d v="2021-07-05T00:00:00"/>
    <x v="0"/>
    <s v="TIFFANY - TTP"/>
    <x v="139"/>
    <x v="113"/>
    <x v="129"/>
    <x v="0"/>
    <n v="65892000"/>
    <n v="2820.7191780821918"/>
  </r>
  <r>
    <d v="2021-07-05T00:00:00"/>
    <x v="0"/>
    <s v="TIFFANY - TTP"/>
    <x v="140"/>
    <x v="113"/>
    <x v="129"/>
    <x v="0"/>
    <n v="51450000"/>
    <n v="2202.4828767123286"/>
  </r>
  <r>
    <d v="2021-07-07T00:00:00"/>
    <x v="0"/>
    <s v="TIFFANY - TTP"/>
    <x v="141"/>
    <x v="114"/>
    <x v="130"/>
    <x v="0"/>
    <n v="223849000"/>
    <n v="9582.5770547945212"/>
  </r>
  <r>
    <d v="2021-07-08T00:00:00"/>
    <x v="0"/>
    <s v="TIFFANY - TTP"/>
    <x v="142"/>
    <x v="115"/>
    <x v="131"/>
    <x v="0"/>
    <n v="162472000"/>
    <n v="6955.1369863013697"/>
  </r>
  <r>
    <d v="2021-07-08T00:00:00"/>
    <x v="1"/>
    <s v="TIFFANY - TTP"/>
    <x v="0"/>
    <x v="116"/>
    <x v="132"/>
    <x v="0"/>
    <n v="5416000"/>
    <n v="231.84931506849315"/>
  </r>
  <r>
    <d v="2021-07-09T00:00:00"/>
    <x v="1"/>
    <s v="TIFFANY - TTP"/>
    <x v="143"/>
    <x v="117"/>
    <x v="133"/>
    <x v="0"/>
    <n v="79431000"/>
    <n v="3400.2996575342468"/>
  </r>
  <r>
    <d v="2021-07-09T00:00:00"/>
    <x v="2"/>
    <s v="TIFFANY - TTP"/>
    <x v="144"/>
    <x v="78"/>
    <x v="134"/>
    <x v="0"/>
    <n v="13179000"/>
    <n v="564.16952054794524"/>
  </r>
  <r>
    <d v="2021-07-10T00:00:00"/>
    <x v="1"/>
    <s v="TIFFANY - TTP"/>
    <x v="103"/>
    <x v="118"/>
    <x v="135"/>
    <x v="0"/>
    <n v="6229000"/>
    <n v="266.65239726027397"/>
  </r>
  <r>
    <d v="2021-07-10T00:00:00"/>
    <x v="0"/>
    <s v="TIFFANY - TTP"/>
    <x v="145"/>
    <x v="119"/>
    <x v="136"/>
    <x v="0"/>
    <n v="55060000"/>
    <n v="2357.0205479452056"/>
  </r>
  <r>
    <d v="2021-07-10T00:00:00"/>
    <x v="0"/>
    <s v="TIFFANY - TTP"/>
    <x v="115"/>
    <x v="120"/>
    <x v="137"/>
    <x v="0"/>
    <n v="8485000"/>
    <n v="363.22773972602738"/>
  </r>
  <r>
    <d v="2021-07-10T00:00:00"/>
    <x v="1"/>
    <s v="TIFFANY - TTP"/>
    <x v="146"/>
    <x v="121"/>
    <x v="138"/>
    <x v="0"/>
    <n v="26176000"/>
    <n v="1120.5479452054794"/>
  </r>
  <r>
    <d v="2021-07-11T00:00:00"/>
    <x v="2"/>
    <s v="TIFFANY - TTP"/>
    <x v="147"/>
    <x v="122"/>
    <x v="139"/>
    <x v="0"/>
    <n v="68599000"/>
    <n v="2936.6010273972602"/>
  </r>
  <r>
    <d v="2021-07-11T00:00:00"/>
    <x v="2"/>
    <s v="TIFFANY - TTP"/>
    <x v="148"/>
    <x v="122"/>
    <x v="139"/>
    <x v="0"/>
    <n v="56865000"/>
    <n v="2434.2893835616437"/>
  </r>
  <r>
    <d v="2021-07-11T00:00:00"/>
    <x v="2"/>
    <s v="TIFFANY - TTP"/>
    <x v="149"/>
    <x v="122"/>
    <x v="139"/>
    <x v="0"/>
    <n v="9388000"/>
    <n v="401.88356164383561"/>
  </r>
  <r>
    <d v="2021-07-11T00:00:00"/>
    <x v="2"/>
    <s v="TIFFANY - TTP"/>
    <x v="86"/>
    <x v="122"/>
    <x v="139"/>
    <x v="0"/>
    <n v="5416000"/>
    <n v="231.84931506849315"/>
  </r>
  <r>
    <d v="2021-07-11T00:00:00"/>
    <x v="1"/>
    <s v="TIFFANY - TTP"/>
    <x v="103"/>
    <x v="123"/>
    <x v="140"/>
    <x v="0"/>
    <n v="6229000"/>
    <n v="266.65239726027397"/>
  </r>
  <r>
    <d v="2021-07-11T00:00:00"/>
    <x v="5"/>
    <s v="TIFFANY - TTP"/>
    <x v="150"/>
    <x v="124"/>
    <x v="141"/>
    <x v="0"/>
    <n v="19858000"/>
    <n v="850.08561643835617"/>
  </r>
  <r>
    <d v="2021-07-11T00:00:00"/>
    <x v="1"/>
    <s v="TIFFANY - TTP"/>
    <x v="151"/>
    <x v="125"/>
    <x v="142"/>
    <x v="0"/>
    <n v="28884000"/>
    <n v="1236.472602739726"/>
  </r>
  <r>
    <d v="2021-07-11T00:00:00"/>
    <x v="1"/>
    <s v="TIFFANY - TTP"/>
    <x v="152"/>
    <x v="126"/>
    <x v="143"/>
    <x v="0"/>
    <n v="10832000"/>
    <n v="463.69863013698631"/>
  </r>
  <r>
    <d v="2021-07-11T00:00:00"/>
    <x v="2"/>
    <s v="TIFFANY - TTP"/>
    <x v="153"/>
    <x v="127"/>
    <x v="144"/>
    <x v="0"/>
    <n v="7402000"/>
    <n v="316.86643835616439"/>
  </r>
  <r>
    <d v="2021-07-11T00:00:00"/>
    <x v="2"/>
    <s v="TIFFANY - TTP"/>
    <x v="90"/>
    <x v="127"/>
    <x v="144"/>
    <x v="0"/>
    <n v="6229000"/>
    <n v="266.65239726027397"/>
  </r>
  <r>
    <d v="2021-07-12T00:00:00"/>
    <x v="0"/>
    <s v="TIFFANY - TTP"/>
    <x v="154"/>
    <x v="128"/>
    <x v="145"/>
    <x v="0"/>
    <n v="63184000"/>
    <n v="2704.794520547945"/>
  </r>
  <r>
    <d v="2021-07-17T00:00:00"/>
    <x v="0"/>
    <s v="TIFFANY - TTP"/>
    <x v="86"/>
    <x v="129"/>
    <x v="146"/>
    <x v="0"/>
    <n v="5416000"/>
    <n v="231.84931506849315"/>
  </r>
  <r>
    <d v="2021-07-17T00:00:00"/>
    <x v="1"/>
    <s v="TIFFANY - TTP"/>
    <x v="103"/>
    <x v="130"/>
    <x v="147"/>
    <x v="0"/>
    <n v="6229000"/>
    <n v="266.65239726027397"/>
  </r>
  <r>
    <d v="2021-07-18T00:00:00"/>
    <x v="1"/>
    <s v="TIFFANY - TTP"/>
    <x v="155"/>
    <x v="131"/>
    <x v="148"/>
    <x v="0"/>
    <n v="27982000"/>
    <n v="1197.8595890410959"/>
  </r>
  <r>
    <d v="2021-07-18T00:00:00"/>
    <x v="1"/>
    <s v="TIFFANY - TTP"/>
    <x v="156"/>
    <x v="131"/>
    <x v="148"/>
    <x v="0"/>
    <n v="27982000"/>
    <n v="1197.8595890410959"/>
  </r>
  <r>
    <d v="2021-07-18T00:00:00"/>
    <x v="1"/>
    <s v="TIFFANY - TTP"/>
    <x v="105"/>
    <x v="132"/>
    <x v="149"/>
    <x v="0"/>
    <n v="10832000"/>
    <n v="463.69863013698631"/>
  </r>
  <r>
    <d v="2021-07-18T00:00:00"/>
    <x v="1"/>
    <s v="TIFFANY - TTP"/>
    <x v="90"/>
    <x v="133"/>
    <x v="150"/>
    <x v="0"/>
    <n v="6229000"/>
    <n v="266.65239726027397"/>
  </r>
  <r>
    <d v="2021-07-21T00:00:00"/>
    <x v="0"/>
    <s v="TIFFANY - TTP"/>
    <x v="157"/>
    <x v="134"/>
    <x v="151"/>
    <x v="0"/>
    <n v="67697000"/>
    <n v="2897.9880136986303"/>
  </r>
  <r>
    <d v="2021-07-21T00:00:00"/>
    <x v="0"/>
    <s v="TIFFANY - TTP"/>
    <x v="158"/>
    <x v="134"/>
    <x v="151"/>
    <x v="0"/>
    <n v="38813000"/>
    <n v="1661.5154109589041"/>
  </r>
  <r>
    <d v="2021-07-21T00:00:00"/>
    <x v="0"/>
    <s v="TIFFANY - TTP"/>
    <x v="159"/>
    <x v="134"/>
    <x v="151"/>
    <x v="0"/>
    <n v="48742000"/>
    <n v="2086.5582191780823"/>
  </r>
  <r>
    <d v="2021-09-15T00:00:00"/>
    <x v="5"/>
    <s v="TIFFANY - TTP"/>
    <x v="86"/>
    <x v="135"/>
    <x v="152"/>
    <x v="0"/>
    <n v="5416000"/>
    <n v="231.84931506849315"/>
  </r>
  <r>
    <d v="2021-09-15T00:00:00"/>
    <x v="0"/>
    <s v="TIFFANY - TTP"/>
    <x v="160"/>
    <x v="136"/>
    <x v="153"/>
    <x v="0"/>
    <n v="285227000"/>
    <n v="12210.059931506848"/>
  </r>
  <r>
    <d v="2021-09-24T00:00:00"/>
    <x v="1"/>
    <s v="TIFFANY - TTP"/>
    <x v="161"/>
    <x v="137"/>
    <x v="154"/>
    <x v="0"/>
    <n v="10832000"/>
    <n v="463.69863013698631"/>
  </r>
  <r>
    <d v="2021-09-27T00:00:00"/>
    <x v="1"/>
    <s v="TIFFANY - TTP"/>
    <x v="123"/>
    <x v="138"/>
    <x v="155"/>
    <x v="0"/>
    <n v="26176000"/>
    <n v="1120.5479452054794"/>
  </r>
  <r>
    <d v="2021-09-27T00:00:00"/>
    <x v="1"/>
    <s v="TIFFANY - TTP"/>
    <x v="162"/>
    <x v="139"/>
    <x v="156"/>
    <x v="0"/>
    <n v="6229000"/>
    <n v="266.65239726027397"/>
  </r>
  <r>
    <d v="2021-09-28T00:00:00"/>
    <x v="1"/>
    <s v="TIFFANY - TTP"/>
    <x v="163"/>
    <x v="140"/>
    <x v="157"/>
    <x v="0"/>
    <n v="6229000"/>
    <n v="266.65239726027397"/>
  </r>
  <r>
    <d v="2021-09-28T00:00:00"/>
    <x v="2"/>
    <s v="TIFFANY - TTP"/>
    <x v="164"/>
    <x v="141"/>
    <x v="158"/>
    <x v="0"/>
    <n v="43326000"/>
    <n v="1854.708904109589"/>
  </r>
  <r>
    <d v="2021-09-28T00:00:00"/>
    <x v="2"/>
    <s v="TIFFANY - TTP"/>
    <x v="165"/>
    <x v="141"/>
    <x v="158"/>
    <x v="0"/>
    <n v="43326000"/>
    <n v="1854.708904109589"/>
  </r>
  <r>
    <d v="2021-09-29T00:00:00"/>
    <x v="0"/>
    <s v="TIFFANY - TTP"/>
    <x v="166"/>
    <x v="142"/>
    <x v="159"/>
    <x v="0"/>
    <n v="143517000"/>
    <n v="6143.7071917808216"/>
  </r>
  <r>
    <d v="2021-09-29T00:00:00"/>
    <x v="2"/>
    <s v="TIFFANY - TTP"/>
    <x v="167"/>
    <x v="143"/>
    <x v="160"/>
    <x v="0"/>
    <n v="114633000"/>
    <n v="4907.2345890410961"/>
  </r>
  <r>
    <d v="2021-09-30T00:00:00"/>
    <x v="1"/>
    <s v="TIFFANY - TTP"/>
    <x v="168"/>
    <x v="144"/>
    <x v="161"/>
    <x v="0"/>
    <n v="31592000"/>
    <n v="1352.3972602739725"/>
  </r>
  <r>
    <d v="2021-10-01T00:00:00"/>
    <x v="2"/>
    <s v="TIFFANY - TTP"/>
    <x v="169"/>
    <x v="145"/>
    <x v="162"/>
    <x v="0"/>
    <n v="37910000"/>
    <n v="1622.8595890410959"/>
  </r>
  <r>
    <d v="2021-10-01T00:00:00"/>
    <x v="2"/>
    <s v="TIFFANY - TTP"/>
    <x v="170"/>
    <x v="145"/>
    <x v="162"/>
    <x v="0"/>
    <n v="43326000"/>
    <n v="1854.708904109589"/>
  </r>
  <r>
    <d v="2021-10-02T00:00:00"/>
    <x v="1"/>
    <s v="TIFFANY - TTP"/>
    <x v="9"/>
    <x v="146"/>
    <x v="163"/>
    <x v="0"/>
    <n v="6229000"/>
    <n v="266.65239726027397"/>
  </r>
  <r>
    <d v="2021-10-02T00:00:00"/>
    <x v="1"/>
    <s v="TIFFANY - TTP"/>
    <x v="171"/>
    <x v="147"/>
    <x v="164"/>
    <x v="0"/>
    <n v="59573000"/>
    <n v="2550.2140410958905"/>
  </r>
  <r>
    <d v="2021-10-02T00:00:00"/>
    <x v="1"/>
    <s v="TIFFANY - TTP"/>
    <x v="172"/>
    <x v="148"/>
    <x v="165"/>
    <x v="0"/>
    <n v="12096000"/>
    <n v="517.80821917808214"/>
  </r>
  <r>
    <d v="2021-10-02T00:00:00"/>
    <x v="1"/>
    <s v="TIFFANY - TTP"/>
    <x v="173"/>
    <x v="148"/>
    <x v="165"/>
    <x v="0"/>
    <n v="13179000"/>
    <n v="564.16952054794524"/>
  </r>
  <r>
    <d v="2021-10-04T00:00:00"/>
    <x v="2"/>
    <s v="TIFFANY - TTP"/>
    <x v="174"/>
    <x v="149"/>
    <x v="166"/>
    <x v="0"/>
    <n v="16970000"/>
    <n v="726.45547945205476"/>
  </r>
  <r>
    <d v="2021-10-05T00:00:00"/>
    <x v="1"/>
    <s v="TIFFANY - TTP"/>
    <x v="175"/>
    <x v="150"/>
    <x v="167"/>
    <x v="0"/>
    <n v="6229000"/>
    <n v="266.65239726027397"/>
  </r>
  <r>
    <d v="2021-10-05T00:00:00"/>
    <x v="0"/>
    <s v="TIFFANY - TTP"/>
    <x v="176"/>
    <x v="151"/>
    <x v="168"/>
    <x v="0"/>
    <n v="227460000"/>
    <n v="9737.1575342465749"/>
  </r>
  <r>
    <d v="2021-10-05T00:00:00"/>
    <x v="0"/>
    <s v="TIFFANY - TTP"/>
    <x v="177"/>
    <x v="151"/>
    <x v="168"/>
    <x v="0"/>
    <n v="225655000"/>
    <n v="9659.8886986301368"/>
  </r>
  <r>
    <d v="2021-10-06T00:00:00"/>
    <x v="1"/>
    <s v="TIFFANY - TTP"/>
    <x v="123"/>
    <x v="152"/>
    <x v="169"/>
    <x v="0"/>
    <n v="26176000"/>
    <n v="1120.5479452054794"/>
  </r>
  <r>
    <d v="2021-10-06T00:00:00"/>
    <x v="1"/>
    <s v="TIFFANY - TTP"/>
    <x v="178"/>
    <x v="153"/>
    <x v="170"/>
    <x v="0"/>
    <n v="11554000"/>
    <n v="494.60616438356163"/>
  </r>
  <r>
    <d v="2021-10-06T00:00:00"/>
    <x v="0"/>
    <s v="TIFFANY - TTP"/>
    <x v="179"/>
    <x v="154"/>
    <x v="171"/>
    <x v="0"/>
    <n v="48742000"/>
    <n v="2086.5582191780823"/>
  </r>
  <r>
    <d v="2021-10-06T00:00:00"/>
    <x v="0"/>
    <s v="TIFFANY - TTP"/>
    <x v="180"/>
    <x v="154"/>
    <x v="171"/>
    <x v="0"/>
    <n v="43326000"/>
    <n v="1854.708904109589"/>
  </r>
  <r>
    <d v="2021-10-07T00:00:00"/>
    <x v="0"/>
    <s v="TIFFANY - TTP"/>
    <x v="181"/>
    <x v="155"/>
    <x v="172"/>
    <x v="0"/>
    <n v="28884000"/>
    <n v="1236.472602739726"/>
  </r>
  <r>
    <d v="2021-10-07T00:00:00"/>
    <x v="0"/>
    <s v="TIFFANY - TTP"/>
    <x v="182"/>
    <x v="155"/>
    <x v="172"/>
    <x v="0"/>
    <n v="55060000"/>
    <n v="2357.0205479452056"/>
  </r>
  <r>
    <d v="2021-10-07T00:00:00"/>
    <x v="1"/>
    <s v="TIFFANY - TTP"/>
    <x v="183"/>
    <x v="156"/>
    <x v="173"/>
    <x v="0"/>
    <n v="17240000"/>
    <n v="738.01369863013701"/>
  </r>
  <r>
    <d v="2021-10-08T00:00:00"/>
    <x v="1"/>
    <s v="TIFFANY - TTP"/>
    <x v="184"/>
    <x v="157"/>
    <x v="174"/>
    <x v="0"/>
    <n v="6680000"/>
    <n v="285.95890410958901"/>
  </r>
  <r>
    <d v="2021-10-08T00:00:00"/>
    <x v="1"/>
    <s v="TIFFANY - TTP"/>
    <x v="10"/>
    <x v="158"/>
    <x v="175"/>
    <x v="0"/>
    <n v="6229000"/>
    <n v="266.65239726027397"/>
  </r>
  <r>
    <d v="2021-10-08T00:00:00"/>
    <x v="1"/>
    <s v="TIFFANY - TTP"/>
    <x v="185"/>
    <x v="159"/>
    <x v="176"/>
    <x v="0"/>
    <n v="6229000"/>
    <n v="266.65239726027397"/>
  </r>
  <r>
    <d v="2021-10-09T00:00:00"/>
    <x v="1"/>
    <s v="TIFFANY - TTP"/>
    <x v="178"/>
    <x v="160"/>
    <x v="177"/>
    <x v="0"/>
    <n v="11554000"/>
    <n v="494.60616438356163"/>
  </r>
  <r>
    <d v="2021-10-09T00:00:00"/>
    <x v="1"/>
    <s v="TIFFANY - TTP"/>
    <x v="186"/>
    <x v="160"/>
    <x v="177"/>
    <x v="0"/>
    <n v="6229000"/>
    <n v="266.65239726027397"/>
  </r>
  <r>
    <d v="2021-10-09T00:00:00"/>
    <x v="1"/>
    <s v="TIFFANY - TTP"/>
    <x v="152"/>
    <x v="161"/>
    <x v="178"/>
    <x v="0"/>
    <n v="10832000"/>
    <n v="463.69863013698631"/>
  </r>
  <r>
    <d v="2021-10-09T00:00:00"/>
    <x v="1"/>
    <s v="TIFFANY - TTP"/>
    <x v="146"/>
    <x v="162"/>
    <x v="179"/>
    <x v="0"/>
    <n v="26176000"/>
    <n v="1120.5479452054794"/>
  </r>
  <r>
    <d v="2021-10-10T00:00:00"/>
    <x v="1"/>
    <s v="TIFFANY - TTP"/>
    <x v="187"/>
    <x v="163"/>
    <x v="180"/>
    <x v="0"/>
    <n v="22566000"/>
    <n v="966.0102739726027"/>
  </r>
  <r>
    <d v="2021-10-10T00:00:00"/>
    <x v="3"/>
    <s v="TIFFANY - TTP"/>
    <x v="188"/>
    <x v="39"/>
    <x v="181"/>
    <x v="0"/>
    <n v="72210000"/>
    <n v="3091.1815068493152"/>
  </r>
  <r>
    <d v="2021-10-10T00:00:00"/>
    <x v="3"/>
    <s v="TIFFANY - TTP"/>
    <x v="134"/>
    <x v="39"/>
    <x v="181"/>
    <x v="0"/>
    <n v="56865000"/>
    <n v="2434.2893835616437"/>
  </r>
  <r>
    <d v="2021-10-11T00:00:00"/>
    <x v="0"/>
    <s v="TIFFANY - TTP"/>
    <x v="189"/>
    <x v="164"/>
    <x v="182"/>
    <x v="0"/>
    <n v="72210000"/>
    <n v="3091.1815068493152"/>
  </r>
  <r>
    <d v="2021-10-11T00:00:00"/>
    <x v="0"/>
    <s v="TIFFANY - TTP"/>
    <x v="190"/>
    <x v="164"/>
    <x v="182"/>
    <x v="0"/>
    <n v="114633000"/>
    <n v="4907.2345890410961"/>
  </r>
  <r>
    <d v="2021-10-12T00:00:00"/>
    <x v="1"/>
    <s v="TIFFANY - TTP"/>
    <x v="178"/>
    <x v="165"/>
    <x v="183"/>
    <x v="0"/>
    <n v="11554000"/>
    <n v="494.60616438356163"/>
  </r>
  <r>
    <d v="2021-10-12T00:00:00"/>
    <x v="1"/>
    <s v="TIFFANY - TTP"/>
    <x v="186"/>
    <x v="165"/>
    <x v="183"/>
    <x v="0"/>
    <n v="6951000"/>
    <n v="297.5599315068493"/>
  </r>
  <r>
    <d v="2021-10-12T00:00:00"/>
    <x v="0"/>
    <s v="TIFFANY - TTP"/>
    <x v="185"/>
    <x v="166"/>
    <x v="184"/>
    <x v="0"/>
    <n v="6951000"/>
    <n v="297.5599315068493"/>
  </r>
  <r>
    <d v="2021-10-13T00:00:00"/>
    <x v="0"/>
    <s v="TIFFANY - TTP"/>
    <x v="191"/>
    <x v="167"/>
    <x v="185"/>
    <x v="0"/>
    <n v="51450000"/>
    <n v="2202.4828767123286"/>
  </r>
  <r>
    <d v="2021-10-13T00:00:00"/>
    <x v="0"/>
    <s v="TIFFANY - TTP"/>
    <x v="192"/>
    <x v="167"/>
    <x v="185"/>
    <x v="0"/>
    <n v="100191000"/>
    <n v="4288.9982876712329"/>
  </r>
  <r>
    <d v="2021-10-13T00:00:00"/>
    <x v="0"/>
    <s v="TIFFANY - TTP"/>
    <x v="193"/>
    <x v="167"/>
    <x v="186"/>
    <x v="0"/>
    <n v="29787000"/>
    <n v="1275.1284246575342"/>
  </r>
  <r>
    <d v="2021-10-13T00:00:00"/>
    <x v="1"/>
    <s v="TIFFANY - TTP"/>
    <x v="191"/>
    <x v="168"/>
    <x v="187"/>
    <x v="0"/>
    <n v="51450000"/>
    <n v="2202.4828767123286"/>
  </r>
  <r>
    <d v="2021-10-13T00:00:00"/>
    <x v="0"/>
    <s v="TIFFANY - TTP"/>
    <x v="2"/>
    <x v="169"/>
    <x v="188"/>
    <x v="0"/>
    <n v="6951000"/>
    <n v="297.5599315068493"/>
  </r>
  <r>
    <d v="2021-10-13T00:00:00"/>
    <x v="0"/>
    <s v="TIFFANY - TTP"/>
    <x v="186"/>
    <x v="169"/>
    <x v="188"/>
    <x v="0"/>
    <n v="6951000"/>
    <n v="297.5599315068493"/>
  </r>
  <r>
    <d v="2021-10-13T00:00:00"/>
    <x v="0"/>
    <s v="TIFFANY - TTP"/>
    <x v="194"/>
    <x v="170"/>
    <x v="189"/>
    <x v="0"/>
    <n v="56865000"/>
    <n v="2434.2893835616437"/>
  </r>
  <r>
    <d v="2021-10-13T00:00:00"/>
    <x v="0"/>
    <s v="TIFFANY - TTP"/>
    <x v="195"/>
    <x v="170"/>
    <x v="189"/>
    <x v="0"/>
    <n v="120951000"/>
    <n v="5177.696917808219"/>
  </r>
  <r>
    <d v="2021-10-13T00:00:00"/>
    <x v="0"/>
    <s v="TIFFANY - TTP"/>
    <x v="196"/>
    <x v="42"/>
    <x v="190"/>
    <x v="0"/>
    <n v="60476000"/>
    <n v="2588.8698630136987"/>
  </r>
  <r>
    <d v="2021-10-13T00:00:00"/>
    <x v="0"/>
    <s v="TIFFANY - TTP"/>
    <x v="197"/>
    <x v="42"/>
    <x v="190"/>
    <x v="0"/>
    <n v="22566000"/>
    <n v="966.0102739726027"/>
  </r>
  <r>
    <d v="2021-10-14T00:00:00"/>
    <x v="0"/>
    <s v="TIFFANY - TTP"/>
    <x v="198"/>
    <x v="171"/>
    <x v="191"/>
    <x v="0"/>
    <n v="25274000"/>
    <n v="1081.9349315068494"/>
  </r>
  <r>
    <d v="2021-10-14T00:00:00"/>
    <x v="0"/>
    <s v="TIFFANY - TTP"/>
    <x v="199"/>
    <x v="171"/>
    <x v="191"/>
    <x v="0"/>
    <n v="29787000"/>
    <n v="1275.1284246575342"/>
  </r>
  <r>
    <d v="2021-10-14T00:00:00"/>
    <x v="1"/>
    <s v="TIFFANY - TTP"/>
    <x v="162"/>
    <x v="172"/>
    <x v="192"/>
    <x v="0"/>
    <n v="6951000"/>
    <n v="297.5599315068493"/>
  </r>
  <r>
    <d v="2021-10-14T00:00:00"/>
    <x v="0"/>
    <s v="TIFFANY - TTP"/>
    <x v="200"/>
    <x v="27"/>
    <x v="193"/>
    <x v="0"/>
    <n v="109217000"/>
    <n v="4675.3852739726026"/>
  </r>
  <r>
    <d v="2021-10-14T00:00:00"/>
    <x v="1"/>
    <s v="TIFFANY - TTP"/>
    <x v="201"/>
    <x v="173"/>
    <x v="194"/>
    <x v="0"/>
    <n v="13179000"/>
    <n v="564.16952054794524"/>
  </r>
  <r>
    <d v="2021-10-15T00:00:00"/>
    <x v="0"/>
    <s v="TIFFANY - TTP"/>
    <x v="202"/>
    <x v="174"/>
    <x v="195"/>
    <x v="0"/>
    <n v="77626000"/>
    <n v="3323.0308219178082"/>
  </r>
  <r>
    <d v="2021-10-15T00:00:00"/>
    <x v="0"/>
    <s v="TIFFANY - TTP"/>
    <x v="203"/>
    <x v="174"/>
    <x v="195"/>
    <x v="0"/>
    <n v="60476000"/>
    <n v="2588.8698630136987"/>
  </r>
  <r>
    <d v="2021-10-15T00:00:00"/>
    <x v="0"/>
    <s v="TIFFANY - TTP"/>
    <x v="111"/>
    <x v="175"/>
    <x v="196"/>
    <x v="0"/>
    <n v="6951000"/>
    <n v="297.5599315068493"/>
  </r>
  <r>
    <d v="2021-10-15T00:00:00"/>
    <x v="0"/>
    <s v="TIFFANY - TTP"/>
    <x v="204"/>
    <x v="176"/>
    <x v="197"/>
    <x v="0"/>
    <n v="114633000"/>
    <n v="4907.2345890410961"/>
  </r>
  <r>
    <d v="2021-10-15T00:00:00"/>
    <x v="0"/>
    <s v="TIFFANY - TTP"/>
    <x v="205"/>
    <x v="176"/>
    <x v="197"/>
    <x v="0"/>
    <n v="56865000"/>
    <n v="2434.2893835616437"/>
  </r>
  <r>
    <d v="2021-10-16T00:00:00"/>
    <x v="1"/>
    <s v="TIFFANY - TTP"/>
    <x v="206"/>
    <x v="177"/>
    <x v="198"/>
    <x v="0"/>
    <n v="48742000"/>
    <n v="2086.5582191780823"/>
  </r>
  <r>
    <d v="2021-10-16T00:00:00"/>
    <x v="1"/>
    <s v="TIFFANY - TTP"/>
    <x v="207"/>
    <x v="178"/>
    <x v="199"/>
    <x v="0"/>
    <n v="46034000"/>
    <n v="1970.6335616438357"/>
  </r>
  <r>
    <d v="2021-10-16T00:00:00"/>
    <x v="1"/>
    <s v="TIFFANY - TTP"/>
    <x v="126"/>
    <x v="179"/>
    <x v="200"/>
    <x v="0"/>
    <n v="36105000"/>
    <n v="1545.5907534246576"/>
  </r>
  <r>
    <d v="2021-10-17T00:00:00"/>
    <x v="1"/>
    <s v="TIFFANY - TTP"/>
    <x v="2"/>
    <x v="180"/>
    <x v="201"/>
    <x v="0"/>
    <n v="6951000"/>
    <n v="297.5599315068493"/>
  </r>
  <r>
    <d v="2021-10-17T00:00:00"/>
    <x v="1"/>
    <s v="TIFFANY - TTP"/>
    <x v="146"/>
    <x v="181"/>
    <x v="202"/>
    <x v="0"/>
    <n v="26176000"/>
    <n v="1120.5479452054794"/>
  </r>
  <r>
    <d v="2021-10-17T00:00:00"/>
    <x v="0"/>
    <s v="TIFFANY - TTP"/>
    <x v="208"/>
    <x v="182"/>
    <x v="203"/>
    <x v="0"/>
    <n v="148030000"/>
    <n v="6336.9006849315065"/>
  </r>
  <r>
    <d v="2021-10-17T00:00:00"/>
    <x v="0"/>
    <s v="TIFFANY - TTP"/>
    <x v="16"/>
    <x v="182"/>
    <x v="203"/>
    <x v="0"/>
    <n v="9388000"/>
    <n v="401.88356164383561"/>
  </r>
  <r>
    <d v="2021-10-17T00:00:00"/>
    <x v="0"/>
    <s v="TIFFANY - TTP"/>
    <x v="209"/>
    <x v="183"/>
    <x v="204"/>
    <x v="0"/>
    <n v="92067000"/>
    <n v="3941.2243150684931"/>
  </r>
  <r>
    <d v="2021-10-17T00:00:00"/>
    <x v="1"/>
    <s v="TIFFANY - TTP"/>
    <x v="210"/>
    <x v="184"/>
    <x v="205"/>
    <x v="0"/>
    <n v="7763000"/>
    <n v="332.32020547945206"/>
  </r>
  <r>
    <d v="2021-10-17T00:00:00"/>
    <x v="2"/>
    <s v="TIFFANY - TTP"/>
    <x v="82"/>
    <x v="185"/>
    <x v="206"/>
    <x v="0"/>
    <n v="92067000"/>
    <n v="3941.2243150684931"/>
  </r>
  <r>
    <d v="2021-10-17T00:00:00"/>
    <x v="0"/>
    <s v="TIFFANY - TTP"/>
    <x v="82"/>
    <x v="186"/>
    <x v="207"/>
    <x v="0"/>
    <n v="92067000"/>
    <n v="3941.2243150684931"/>
  </r>
  <r>
    <d v="2021-10-17T00:00:00"/>
    <x v="0"/>
    <s v="TIFFANY - TTP"/>
    <x v="211"/>
    <x v="187"/>
    <x v="208"/>
    <x v="0"/>
    <n v="200381000"/>
    <n v="8577.9537671232883"/>
  </r>
  <r>
    <d v="2021-10-17T00:00:00"/>
    <x v="2"/>
    <s v="TIFFANY - TTP"/>
    <x v="75"/>
    <x v="188"/>
    <x v="209"/>
    <x v="0"/>
    <n v="79431000"/>
    <n v="3400.2996575342468"/>
  </r>
  <r>
    <d v="2021-10-17T00:00:00"/>
    <x v="2"/>
    <s v="TIFFANY - TTP"/>
    <x v="212"/>
    <x v="188"/>
    <x v="209"/>
    <x v="0"/>
    <n v="70405000"/>
    <n v="3013.9126712328766"/>
  </r>
  <r>
    <d v="2021-10-17T00:00:00"/>
    <x v="0"/>
    <s v="TIFFANY - TTP"/>
    <x v="213"/>
    <x v="189"/>
    <x v="210"/>
    <x v="0"/>
    <n v="160666000"/>
    <n v="6877.8253424657532"/>
  </r>
  <r>
    <d v="2021-10-17T00:00:00"/>
    <x v="0"/>
    <s v="TIFFANY - TTP"/>
    <x v="214"/>
    <x v="189"/>
    <x v="210"/>
    <x v="0"/>
    <n v="572260000"/>
    <n v="24497.431506849316"/>
  </r>
  <r>
    <d v="2021-10-18T00:00:00"/>
    <x v="0"/>
    <s v="TIFFANY - TTP"/>
    <x v="215"/>
    <x v="190"/>
    <x v="211"/>
    <x v="0"/>
    <n v="330358000"/>
    <n v="14142.037671232876"/>
  </r>
  <r>
    <d v="2021-10-18T00:00:00"/>
    <x v="0"/>
    <s v="TIFFANY - TTP"/>
    <x v="216"/>
    <x v="31"/>
    <x v="212"/>
    <x v="0"/>
    <n v="74015000"/>
    <n v="3168.4503424657532"/>
  </r>
  <r>
    <d v="2021-10-18T00:00:00"/>
    <x v="0"/>
    <s v="TIFFANY - TTP"/>
    <x v="217"/>
    <x v="191"/>
    <x v="213"/>
    <x v="0"/>
    <n v="159764000"/>
    <n v="6839.2123287671229"/>
  </r>
  <r>
    <d v="2021-10-19T00:00:00"/>
    <x v="1"/>
    <s v="TIFFANY - TTP"/>
    <x v="162"/>
    <x v="192"/>
    <x v="214"/>
    <x v="0"/>
    <n v="6951000"/>
    <n v="297.5599315068493"/>
  </r>
  <r>
    <d v="2021-10-19T00:00:00"/>
    <x v="1"/>
    <s v="TIFFANY - TTP"/>
    <x v="218"/>
    <x v="193"/>
    <x v="215"/>
    <x v="0"/>
    <n v="6951000"/>
    <n v="297.5599315068493"/>
  </r>
  <r>
    <d v="2021-10-19T00:00:00"/>
    <x v="2"/>
    <s v="TIFFANY - TTP"/>
    <x v="219"/>
    <x v="194"/>
    <x v="216"/>
    <x v="0"/>
    <n v="60476000"/>
    <n v="2588.8698630136987"/>
  </r>
  <r>
    <d v="2021-10-19T00:00:00"/>
    <x v="1"/>
    <s v="TIFFANY - TTP"/>
    <x v="220"/>
    <x v="195"/>
    <x v="217"/>
    <x v="0"/>
    <n v="21663000"/>
    <n v="927.35445205479448"/>
  </r>
  <r>
    <d v="2021-10-19T00:00:00"/>
    <x v="0"/>
    <s v="TIFFANY - TTP"/>
    <x v="67"/>
    <x v="196"/>
    <x v="218"/>
    <x v="0"/>
    <n v="64989000"/>
    <n v="2782.0633561643835"/>
  </r>
  <r>
    <d v="2021-10-19T00:00:00"/>
    <x v="0"/>
    <s v="TIFFANY - TTP"/>
    <x v="221"/>
    <x v="196"/>
    <x v="218"/>
    <x v="0"/>
    <n v="22566000"/>
    <n v="966.0102739726027"/>
  </r>
  <r>
    <d v="2021-10-19T00:00:00"/>
    <x v="3"/>
    <s v="TIFFANY - TTP"/>
    <x v="190"/>
    <x v="197"/>
    <x v="219"/>
    <x v="0"/>
    <n v="114633000"/>
    <n v="4907.2345890410961"/>
  </r>
  <r>
    <d v="2021-10-20T00:00:00"/>
    <x v="1"/>
    <s v="TIFFANY - TTP"/>
    <x v="111"/>
    <x v="198"/>
    <x v="220"/>
    <x v="0"/>
    <n v="6951000"/>
    <n v="297.5599315068493"/>
  </r>
  <r>
    <d v="2021-10-20T00:00:00"/>
    <x v="2"/>
    <s v="TIFFANY - TTP"/>
    <x v="222"/>
    <x v="199"/>
    <x v="221"/>
    <x v="0"/>
    <n v="26176000"/>
    <n v="1120.5479452054794"/>
  </r>
  <r>
    <d v="2021-10-20T00:00:00"/>
    <x v="1"/>
    <s v="TIFFANY - TTP"/>
    <x v="108"/>
    <x v="200"/>
    <x v="222"/>
    <x v="0"/>
    <n v="40618000"/>
    <n v="1738.7842465753424"/>
  </r>
  <r>
    <d v="2021-10-20T00:00:00"/>
    <x v="0"/>
    <s v="TIFFANY - TTP"/>
    <x v="223"/>
    <x v="196"/>
    <x v="223"/>
    <x v="0"/>
    <n v="256344000"/>
    <n v="10973.630136986301"/>
  </r>
  <r>
    <d v="2021-10-20T00:00:00"/>
    <x v="1"/>
    <s v="TIFFANY - TTP"/>
    <x v="224"/>
    <x v="201"/>
    <x v="224"/>
    <x v="0"/>
    <n v="6951000"/>
    <n v="297.5599315068493"/>
  </r>
  <r>
    <d v="2021-10-20T00:00:00"/>
    <x v="0"/>
    <s v="TIFFANY - TTP"/>
    <x v="204"/>
    <x v="202"/>
    <x v="225"/>
    <x v="0"/>
    <n v="114633000"/>
    <n v="4907.2345890410961"/>
  </r>
  <r>
    <d v="2021-10-20T00:00:00"/>
    <x v="0"/>
    <s v="TIFFANY - TTP"/>
    <x v="8"/>
    <x v="202"/>
    <x v="225"/>
    <x v="0"/>
    <n v="6951000"/>
    <n v="297.5599315068493"/>
  </r>
  <r>
    <d v="2021-10-20T00:00:00"/>
    <x v="0"/>
    <s v="TIFFANY - TTP"/>
    <x v="225"/>
    <x v="203"/>
    <x v="226"/>
    <x v="0"/>
    <n v="103801000"/>
    <n v="4443.53595890411"/>
  </r>
  <r>
    <d v="2021-10-20T00:00:00"/>
    <x v="1"/>
    <s v="TIFFANY - TTP"/>
    <x v="226"/>
    <x v="204"/>
    <x v="227"/>
    <x v="0"/>
    <n v="50547000"/>
    <n v="2163.8270547945203"/>
  </r>
  <r>
    <d v="2021-10-21T00:00:00"/>
    <x v="1"/>
    <s v="TIFFANY - TTP"/>
    <x v="212"/>
    <x v="205"/>
    <x v="228"/>
    <x v="0"/>
    <n v="70405000"/>
    <n v="3013.9126712328766"/>
  </r>
  <r>
    <d v="2021-10-21T00:00:00"/>
    <x v="1"/>
    <s v="TIFFANY - TTP"/>
    <x v="72"/>
    <x v="206"/>
    <x v="229"/>
    <x v="0"/>
    <n v="26176000"/>
    <n v="1120.5479452054794"/>
  </r>
  <r>
    <d v="2021-10-22T00:00:00"/>
    <x v="2"/>
    <s v="TIFFANY - TTP"/>
    <x v="227"/>
    <x v="207"/>
    <x v="230"/>
    <x v="0"/>
    <n v="13179000"/>
    <n v="564.16952054794524"/>
  </r>
  <r>
    <d v="2021-10-22T00:00:00"/>
    <x v="2"/>
    <s v="TIFFANY - TTP"/>
    <x v="228"/>
    <x v="207"/>
    <x v="230"/>
    <x v="0"/>
    <n v="11554000"/>
    <n v="494.60616438356163"/>
  </r>
  <r>
    <d v="2021-10-22T00:00:00"/>
    <x v="0"/>
    <s v="TIFFANY - TTP"/>
    <x v="229"/>
    <x v="208"/>
    <x v="231"/>
    <x v="0"/>
    <n v="68599000"/>
    <n v="2936.6010273972602"/>
  </r>
  <r>
    <d v="2021-10-23T00:00:00"/>
    <x v="1"/>
    <s v="TIFFANY - TTP"/>
    <x v="108"/>
    <x v="209"/>
    <x v="232"/>
    <x v="0"/>
    <n v="40618000"/>
    <n v="1738.7842465753424"/>
  </r>
  <r>
    <d v="2021-10-23T00:00:00"/>
    <x v="1"/>
    <s v="TIFFANY - TTP"/>
    <x v="123"/>
    <x v="210"/>
    <x v="233"/>
    <x v="0"/>
    <n v="26176000"/>
    <n v="1120.5479452054794"/>
  </r>
  <r>
    <d v="2021-10-23T00:00:00"/>
    <x v="0"/>
    <s v="TIFFANY - TTP"/>
    <x v="230"/>
    <x v="97"/>
    <x v="234"/>
    <x v="0"/>
    <n v="6951000"/>
    <n v="297.5599315068493"/>
  </r>
  <r>
    <d v="2021-10-23T00:00:00"/>
    <x v="0"/>
    <s v="TIFFANY - TTP"/>
    <x v="231"/>
    <x v="211"/>
    <x v="235"/>
    <x v="0"/>
    <n v="56865000"/>
    <n v="2434.2893835616437"/>
  </r>
  <r>
    <d v="2021-10-23T00:00:00"/>
    <x v="0"/>
    <s v="TIFFANY - TTP"/>
    <x v="232"/>
    <x v="212"/>
    <x v="236"/>
    <x v="0"/>
    <n v="10832000"/>
    <n v="463.69863013698631"/>
  </r>
  <r>
    <d v="2021-10-23T00:00:00"/>
    <x v="0"/>
    <s v="TIFFANY - TTP"/>
    <x v="233"/>
    <x v="213"/>
    <x v="237"/>
    <x v="0"/>
    <n v="505466000"/>
    <n v="21638.099315068492"/>
  </r>
  <r>
    <d v="2021-10-23T00:00:00"/>
    <x v="1"/>
    <s v="TIFFANY - TTP"/>
    <x v="234"/>
    <x v="214"/>
    <x v="238"/>
    <x v="0"/>
    <n v="74015000"/>
    <n v="3168.4503424657532"/>
  </r>
  <r>
    <d v="2021-10-23T00:00:00"/>
    <x v="2"/>
    <s v="TIFFANY - TTP"/>
    <x v="224"/>
    <x v="215"/>
    <x v="239"/>
    <x v="0"/>
    <n v="6951000"/>
    <n v="297.5599315068493"/>
  </r>
  <r>
    <d v="2021-10-24T00:00:00"/>
    <x v="1"/>
    <s v="TIFFANY - TTP"/>
    <x v="123"/>
    <x v="216"/>
    <x v="240"/>
    <x v="0"/>
    <n v="26176000"/>
    <n v="1120.5479452054794"/>
  </r>
  <r>
    <d v="2021-10-24T00:00:00"/>
    <x v="1"/>
    <s v="TIFFANY - TTP"/>
    <x v="235"/>
    <x v="217"/>
    <x v="241"/>
    <x v="0"/>
    <n v="15435000"/>
    <n v="660.74486301369859"/>
  </r>
  <r>
    <d v="2021-10-25T00:00:00"/>
    <x v="0"/>
    <s v="TIFFANY - TTP"/>
    <x v="236"/>
    <x v="218"/>
    <x v="242"/>
    <x v="0"/>
    <n v="178719000"/>
    <n v="7650.642123287671"/>
  </r>
  <r>
    <d v="2021-10-25T00:00:00"/>
    <x v="0"/>
    <s v="TIFFANY - TTP"/>
    <x v="237"/>
    <x v="219"/>
    <x v="243"/>
    <x v="0"/>
    <n v="171498000"/>
    <n v="7341.5239726027394"/>
  </r>
  <r>
    <d v="2021-10-25T00:00:00"/>
    <x v="0"/>
    <s v="TIFFANY - TTP"/>
    <x v="238"/>
    <x v="219"/>
    <x v="243"/>
    <x v="0"/>
    <n v="106509000"/>
    <n v="4559.4606164383558"/>
  </r>
  <r>
    <d v="2021-10-26T00:00:00"/>
    <x v="1"/>
    <s v="TIFFANY - TTP"/>
    <x v="232"/>
    <x v="220"/>
    <x v="244"/>
    <x v="0"/>
    <n v="10832000"/>
    <n v="463.69863013698631"/>
  </r>
  <r>
    <d v="2021-10-26T00:00:00"/>
    <x v="1"/>
    <s v="TIFFANY - TTP"/>
    <x v="2"/>
    <x v="221"/>
    <x v="245"/>
    <x v="0"/>
    <n v="6951000"/>
    <n v="297.5599315068493"/>
  </r>
  <r>
    <d v="2021-10-27T00:00:00"/>
    <x v="0"/>
    <s v="TIFFANY - TTP"/>
    <x v="239"/>
    <x v="222"/>
    <x v="246"/>
    <x v="0"/>
    <n v="50547000"/>
    <n v="2163.8270547945203"/>
  </r>
  <r>
    <d v="2021-10-28T00:00:00"/>
    <x v="1"/>
    <s v="TIFFANY - TTP"/>
    <x v="240"/>
    <x v="223"/>
    <x v="247"/>
    <x v="0"/>
    <n v="14262000"/>
    <n v="610.53082191780823"/>
  </r>
  <r>
    <d v="2021-10-28T00:00:00"/>
    <x v="1"/>
    <s v="TIFFANY - TTP"/>
    <x v="210"/>
    <x v="224"/>
    <x v="248"/>
    <x v="0"/>
    <n v="7763000"/>
    <n v="332.32020547945206"/>
  </r>
  <r>
    <d v="2021-10-28T00:00:00"/>
    <x v="0"/>
    <s v="TIFFANY - TTP"/>
    <x v="241"/>
    <x v="225"/>
    <x v="249"/>
    <x v="0"/>
    <n v="384515000"/>
    <n v="16460.402397260274"/>
  </r>
  <r>
    <d v="2021-10-28T00:00:00"/>
    <x v="1"/>
    <s v="TIFFANY - TTP"/>
    <x v="230"/>
    <x v="224"/>
    <x v="250"/>
    <x v="0"/>
    <n v="6951000"/>
    <n v="297.5599315068493"/>
  </r>
  <r>
    <d v="2021-10-28T00:00:00"/>
    <x v="1"/>
    <s v="TIFFANY - TTP"/>
    <x v="230"/>
    <x v="226"/>
    <x v="251"/>
    <x v="0"/>
    <n v="6951000"/>
    <n v="297.5599315068493"/>
  </r>
  <r>
    <d v="2021-10-28T00:00:00"/>
    <x v="1"/>
    <s v="TIFFANY - TTP"/>
    <x v="242"/>
    <x v="227"/>
    <x v="252"/>
    <x v="0"/>
    <n v="55060000"/>
    <n v="2357.0205479452056"/>
  </r>
  <r>
    <d v="2021-10-28T00:00:00"/>
    <x v="0"/>
    <s v="TIFFANY - TTP"/>
    <x v="243"/>
    <x v="228"/>
    <x v="253"/>
    <x v="0"/>
    <n v="265370000"/>
    <n v="11360.017123287671"/>
  </r>
  <r>
    <d v="2021-10-29T00:00:00"/>
    <x v="0"/>
    <s v="TIFFANY - TTP"/>
    <x v="244"/>
    <x v="229"/>
    <x v="254"/>
    <x v="0"/>
    <n v="63184000"/>
    <n v="2704.794520547945"/>
  </r>
  <r>
    <d v="2021-10-29T00:00:00"/>
    <x v="2"/>
    <s v="TIFFANY - TTP"/>
    <x v="245"/>
    <x v="230"/>
    <x v="255"/>
    <x v="0"/>
    <n v="46937000"/>
    <n v="2009.2893835616439"/>
  </r>
  <r>
    <d v="2021-10-29T00:00:00"/>
    <x v="2"/>
    <s v="TIFFANY - TTP"/>
    <x v="246"/>
    <x v="230"/>
    <x v="255"/>
    <x v="0"/>
    <n v="46937000"/>
    <n v="2009.2893835616439"/>
  </r>
  <r>
    <d v="2021-10-29T00:00:00"/>
    <x v="0"/>
    <s v="TIFFANY - TTP"/>
    <x v="247"/>
    <x v="229"/>
    <x v="256"/>
    <x v="0"/>
    <n v="56865000"/>
    <n v="2434.2893835616437"/>
  </r>
  <r>
    <d v="2021-10-29T00:00:00"/>
    <x v="0"/>
    <s v="TIFFANY - TTP"/>
    <x v="244"/>
    <x v="229"/>
    <x v="257"/>
    <x v="1"/>
    <n v="-63184000"/>
    <n v="-2704.794520547945"/>
  </r>
  <r>
    <d v="2021-10-30T00:00:00"/>
    <x v="0"/>
    <s v="TIFFANY - TTP"/>
    <x v="95"/>
    <x v="231"/>
    <x v="258"/>
    <x v="0"/>
    <n v="68599000"/>
    <n v="2936.6010273972602"/>
  </r>
  <r>
    <d v="2021-10-30T00:00:00"/>
    <x v="0"/>
    <s v="TIFFANY - TTP"/>
    <x v="40"/>
    <x v="231"/>
    <x v="258"/>
    <x v="0"/>
    <n v="9388000"/>
    <n v="401.88356164383561"/>
  </r>
  <r>
    <d v="2021-10-30T00:00:00"/>
    <x v="2"/>
    <s v="TIFFANY - TTP"/>
    <x v="248"/>
    <x v="232"/>
    <x v="259"/>
    <x v="0"/>
    <n v="97483000"/>
    <n v="4173.0736301369861"/>
  </r>
  <r>
    <d v="2021-10-30T00:00:00"/>
    <x v="2"/>
    <s v="TIFFANY - TTP"/>
    <x v="249"/>
    <x v="233"/>
    <x v="260"/>
    <x v="0"/>
    <n v="55060000"/>
    <n v="2357.0205479452056"/>
  </r>
  <r>
    <d v="2021-10-30T00:00:00"/>
    <x v="2"/>
    <s v="TIFFANY - TTP"/>
    <x v="250"/>
    <x v="233"/>
    <x v="260"/>
    <x v="0"/>
    <n v="43326000"/>
    <n v="1854.708904109589"/>
  </r>
  <r>
    <d v="2021-10-31T00:00:00"/>
    <x v="1"/>
    <s v="TIFFANY - TTP"/>
    <x v="251"/>
    <x v="234"/>
    <x v="261"/>
    <x v="0"/>
    <n v="12096000"/>
    <n v="517.80821917808214"/>
  </r>
  <r>
    <d v="2021-10-31T00:00:00"/>
    <x v="1"/>
    <s v="TIFFANY - TTP"/>
    <x v="252"/>
    <x v="235"/>
    <x v="262"/>
    <x v="0"/>
    <n v="24371000"/>
    <n v="1043.2791095890411"/>
  </r>
  <r>
    <d v="2021-10-31T00:00:00"/>
    <x v="0"/>
    <s v="TIFFANY - TTP"/>
    <x v="253"/>
    <x v="236"/>
    <x v="263"/>
    <x v="0"/>
    <n v="178719000"/>
    <n v="7650.642123287671"/>
  </r>
  <r>
    <d v="2021-10-31T00:00:00"/>
    <x v="0"/>
    <s v="TIFFANY - TTP"/>
    <x v="254"/>
    <x v="237"/>
    <x v="264"/>
    <x v="0"/>
    <n v="82139000"/>
    <n v="3516.2243150684931"/>
  </r>
  <r>
    <d v="2021-10-31T00:00:00"/>
    <x v="0"/>
    <s v="TIFFANY - TTP"/>
    <x v="209"/>
    <x v="238"/>
    <x v="265"/>
    <x v="0"/>
    <n v="92067000"/>
    <n v="3941.2243150684931"/>
  </r>
  <r>
    <d v="2021-10-31T00:00:00"/>
    <x v="0"/>
    <s v="TIFFANY - TTP"/>
    <x v="255"/>
    <x v="238"/>
    <x v="265"/>
    <x v="0"/>
    <n v="56865000"/>
    <n v="2434.2893835616437"/>
  </r>
  <r>
    <d v="2021-10-31T00:00:00"/>
    <x v="0"/>
    <s v="TIFFANY - TTP"/>
    <x v="256"/>
    <x v="239"/>
    <x v="266"/>
    <x v="0"/>
    <n v="12366000"/>
    <n v="529.36643835616439"/>
  </r>
  <r>
    <d v="2021-10-31T00:00:00"/>
    <x v="0"/>
    <s v="TIFFANY - TTP"/>
    <x v="257"/>
    <x v="240"/>
    <x v="267"/>
    <x v="0"/>
    <n v="164277000"/>
    <n v="7032.4058219178078"/>
  </r>
  <r>
    <d v="2021-10-31T00:00:00"/>
    <x v="0"/>
    <s v="TIFFANY - TTP"/>
    <x v="258"/>
    <x v="240"/>
    <x v="267"/>
    <x v="0"/>
    <n v="28884000"/>
    <n v="1236.472602739726"/>
  </r>
  <r>
    <d v="2021-11-02T00:00:00"/>
    <x v="1"/>
    <s v="TIFFANY - TTP"/>
    <x v="259"/>
    <x v="241"/>
    <x v="268"/>
    <x v="0"/>
    <n v="6951000"/>
    <n v="297.5599315068493"/>
  </r>
  <r>
    <d v="2021-11-02T00:00:00"/>
    <x v="0"/>
    <s v="TIFFANY - TTP"/>
    <x v="115"/>
    <x v="242"/>
    <x v="269"/>
    <x v="0"/>
    <n v="8485000"/>
    <n v="363.22773972602738"/>
  </r>
  <r>
    <d v="2021-11-03T00:00:00"/>
    <x v="1"/>
    <s v="TIFFANY - TTP"/>
    <x v="149"/>
    <x v="243"/>
    <x v="270"/>
    <x v="0"/>
    <n v="9388000"/>
    <n v="401.88356164383561"/>
  </r>
  <r>
    <d v="2021-11-03T00:00:00"/>
    <x v="2"/>
    <s v="TIFFANY - TTP"/>
    <x v="260"/>
    <x v="244"/>
    <x v="271"/>
    <x v="0"/>
    <n v="56865000"/>
    <n v="2434.2893835616437"/>
  </r>
  <r>
    <d v="2021-11-04T00:00:00"/>
    <x v="1"/>
    <s v="TIFFANY - TTP"/>
    <x v="261"/>
    <x v="245"/>
    <x v="272"/>
    <x v="0"/>
    <n v="6951000"/>
    <n v="297.5599315068493"/>
  </r>
  <r>
    <d v="2021-11-06T00:00:00"/>
    <x v="1"/>
    <s v="TIFFANY - TTP"/>
    <x v="262"/>
    <x v="246"/>
    <x v="273"/>
    <x v="0"/>
    <n v="56865000"/>
    <n v="2434.2893835616437"/>
  </r>
  <r>
    <d v="2021-11-06T00:00:00"/>
    <x v="2"/>
    <s v="TIFFANY - TTP"/>
    <x v="263"/>
    <x v="247"/>
    <x v="274"/>
    <x v="0"/>
    <n v="56865000"/>
    <n v="2434.2893835616437"/>
  </r>
  <r>
    <d v="2021-11-06T00:00:00"/>
    <x v="2"/>
    <s v="TIFFANY - TTP"/>
    <x v="264"/>
    <x v="247"/>
    <x v="274"/>
    <x v="0"/>
    <n v="48742000"/>
    <n v="2086.5582191780823"/>
  </r>
  <r>
    <d v="2021-11-06T00:00:00"/>
    <x v="0"/>
    <s v="TIFFANY - TTP"/>
    <x v="265"/>
    <x v="248"/>
    <x v="275"/>
    <x v="0"/>
    <n v="120951000"/>
    <n v="5177.696917808219"/>
  </r>
  <r>
    <d v="2021-11-06T00:00:00"/>
    <x v="0"/>
    <s v="TIFFANY - TTP"/>
    <x v="266"/>
    <x v="248"/>
    <x v="275"/>
    <x v="0"/>
    <n v="48742000"/>
    <n v="2086.5582191780823"/>
  </r>
  <r>
    <d v="2021-11-06T00:00:00"/>
    <x v="1"/>
    <s v="TIFFANY - TTP"/>
    <x v="267"/>
    <x v="249"/>
    <x v="276"/>
    <x v="0"/>
    <n v="11554000"/>
    <n v="494.60616438356163"/>
  </r>
  <r>
    <d v="2021-11-06T00:00:00"/>
    <x v="0"/>
    <s v="TIFFANY - TTP"/>
    <x v="179"/>
    <x v="250"/>
    <x v="277"/>
    <x v="0"/>
    <n v="48742000"/>
    <n v="2086.5582191780823"/>
  </r>
  <r>
    <d v="2021-11-06T00:00:00"/>
    <x v="0"/>
    <s v="TIFFANY - TTP"/>
    <x v="268"/>
    <x v="250"/>
    <x v="277"/>
    <x v="0"/>
    <n v="28884000"/>
    <n v="1236.472602739726"/>
  </r>
  <r>
    <d v="2021-11-06T00:00:00"/>
    <x v="0"/>
    <s v="TIFFANY - TTP"/>
    <x v="146"/>
    <x v="250"/>
    <x v="277"/>
    <x v="0"/>
    <n v="26176000"/>
    <n v="1120.5479452054794"/>
  </r>
  <r>
    <d v="2021-11-06T00:00:00"/>
    <x v="4"/>
    <s v="TIFFANY - TTP"/>
    <x v="269"/>
    <x v="251"/>
    <x v="278"/>
    <x v="0"/>
    <n v="1610268800"/>
    <n v="68932.739726027401"/>
  </r>
  <r>
    <d v="2021-11-10T00:00:00"/>
    <x v="1"/>
    <s v="TIFFANY - TTP"/>
    <x v="218"/>
    <x v="252"/>
    <x v="279"/>
    <x v="0"/>
    <n v="6951000"/>
    <n v="297.5599315068493"/>
  </r>
  <r>
    <d v="2021-11-10T00:00:00"/>
    <x v="2"/>
    <s v="TIFFANY - TTP"/>
    <x v="230"/>
    <x v="253"/>
    <x v="280"/>
    <x v="0"/>
    <n v="6951000"/>
    <n v="297.5599315068493"/>
  </r>
  <r>
    <d v="2021-11-10T00:00:00"/>
    <x v="1"/>
    <s v="TIFFANY - TTP"/>
    <x v="85"/>
    <x v="254"/>
    <x v="281"/>
    <x v="0"/>
    <n v="14713000"/>
    <n v="629.83732876712327"/>
  </r>
  <r>
    <d v="2021-11-11T00:00:00"/>
    <x v="1"/>
    <s v="TIFFANY - TTP"/>
    <x v="123"/>
    <x v="255"/>
    <x v="282"/>
    <x v="0"/>
    <n v="26176000"/>
    <n v="1120.5479452054794"/>
  </r>
  <r>
    <d v="2021-11-11T00:00:00"/>
    <x v="1"/>
    <s v="TIFFANY - TTP"/>
    <x v="270"/>
    <x v="256"/>
    <x v="283"/>
    <x v="0"/>
    <n v="46937000"/>
    <n v="2009.2893835616439"/>
  </r>
  <r>
    <d v="2021-11-12T00:00:00"/>
    <x v="1"/>
    <s v="TIFFANY - TTP"/>
    <x v="123"/>
    <x v="257"/>
    <x v="284"/>
    <x v="0"/>
    <n v="26176000"/>
    <n v="1120.5479452054794"/>
  </r>
  <r>
    <d v="2021-11-12T00:00:00"/>
    <x v="1"/>
    <s v="TIFFANY - TTP"/>
    <x v="123"/>
    <x v="257"/>
    <x v="285"/>
    <x v="1"/>
    <n v="-26176000"/>
    <n v="-1120.5479452054794"/>
  </r>
  <r>
    <d v="2021-11-12T00:00:00"/>
    <x v="1"/>
    <s v="TIFFANY - TTP"/>
    <x v="123"/>
    <x v="257"/>
    <x v="286"/>
    <x v="0"/>
    <n v="26176000"/>
    <n v="1120.5479452054794"/>
  </r>
  <r>
    <d v="2021-11-12T00:00:00"/>
    <x v="1"/>
    <s v="TIFFANY - TTP"/>
    <x v="271"/>
    <x v="258"/>
    <x v="287"/>
    <x v="0"/>
    <n v="56865000"/>
    <n v="2434.2893835616437"/>
  </r>
  <r>
    <d v="2021-11-12T00:00:00"/>
    <x v="0"/>
    <s v="TIFFANY - TTP"/>
    <x v="272"/>
    <x v="29"/>
    <x v="288"/>
    <x v="0"/>
    <n v="83041000"/>
    <n v="3554.8373287671234"/>
  </r>
  <r>
    <d v="2021-11-13T00:00:00"/>
    <x v="1"/>
    <s v="TIFFANY - TTP"/>
    <x v="232"/>
    <x v="259"/>
    <x v="289"/>
    <x v="0"/>
    <n v="10832000"/>
    <n v="463.69863013698631"/>
  </r>
  <r>
    <d v="2021-11-13T00:00:00"/>
    <x v="0"/>
    <s v="TIFFANY - TTP"/>
    <x v="273"/>
    <x v="260"/>
    <x v="290"/>
    <x v="0"/>
    <n v="86652000"/>
    <n v="3709.4178082191779"/>
  </r>
  <r>
    <d v="2021-11-13T00:00:00"/>
    <x v="0"/>
    <s v="TIFFANY - TTP"/>
    <x v="274"/>
    <x v="260"/>
    <x v="290"/>
    <x v="0"/>
    <n v="120951000"/>
    <n v="5177.696917808219"/>
  </r>
  <r>
    <d v="2021-11-13T00:00:00"/>
    <x v="2"/>
    <s v="TIFFANY - TTP"/>
    <x v="65"/>
    <x v="261"/>
    <x v="291"/>
    <x v="0"/>
    <n v="48742000"/>
    <n v="2086.5582191780823"/>
  </r>
  <r>
    <d v="2021-11-13T00:00:00"/>
    <x v="0"/>
    <s v="TIFFANY - TTP"/>
    <x v="275"/>
    <x v="262"/>
    <x v="292"/>
    <x v="0"/>
    <n v="114633000"/>
    <n v="4907.2345890410961"/>
  </r>
  <r>
    <d v="2021-11-13T00:00:00"/>
    <x v="0"/>
    <s v="TIFFANY - TTP"/>
    <x v="231"/>
    <x v="262"/>
    <x v="292"/>
    <x v="0"/>
    <n v="56865000"/>
    <n v="2434.2893835616437"/>
  </r>
  <r>
    <d v="2021-11-14T00:00:00"/>
    <x v="1"/>
    <s v="TIFFANY - TTP"/>
    <x v="276"/>
    <x v="263"/>
    <x v="293"/>
    <x v="0"/>
    <n v="25274000"/>
    <n v="1081.9349315068494"/>
  </r>
  <r>
    <d v="2021-11-14T00:00:00"/>
    <x v="2"/>
    <s v="TIFFANY - TTP"/>
    <x v="277"/>
    <x v="264"/>
    <x v="294"/>
    <x v="0"/>
    <n v="40618000"/>
    <n v="1738.7842465753424"/>
  </r>
  <r>
    <d v="2021-11-14T00:00:00"/>
    <x v="2"/>
    <s v="TIFFANY - TTP"/>
    <x v="278"/>
    <x v="264"/>
    <x v="294"/>
    <x v="0"/>
    <n v="40618000"/>
    <n v="1738.7842465753424"/>
  </r>
  <r>
    <d v="2021-11-14T00:00:00"/>
    <x v="2"/>
    <s v="TIFFANY - TTP"/>
    <x v="279"/>
    <x v="265"/>
    <x v="295"/>
    <x v="0"/>
    <n v="97483000"/>
    <n v="4173.0736301369861"/>
  </r>
  <r>
    <d v="2021-11-15T00:00:00"/>
    <x v="0"/>
    <s v="TIFFANY - TTP"/>
    <x v="109"/>
    <x v="266"/>
    <x v="296"/>
    <x v="0"/>
    <n v="92067000"/>
    <n v="3941.2243150684931"/>
  </r>
  <r>
    <d v="2021-11-15T00:00:00"/>
    <x v="0"/>
    <s v="TIFFANY - TTP"/>
    <x v="280"/>
    <x v="266"/>
    <x v="296"/>
    <x v="0"/>
    <n v="63184000"/>
    <n v="2704.794520547945"/>
  </r>
  <r>
    <d v="2021-11-15T00:00:00"/>
    <x v="0"/>
    <s v="TIFFANY - TTP"/>
    <x v="149"/>
    <x v="266"/>
    <x v="296"/>
    <x v="0"/>
    <n v="9388000"/>
    <n v="401.88356164383561"/>
  </r>
  <r>
    <d v="2021-11-15T00:00:00"/>
    <x v="0"/>
    <s v="TIFFANY - TTP"/>
    <x v="281"/>
    <x v="266"/>
    <x v="296"/>
    <x v="0"/>
    <n v="250928000"/>
    <n v="10741.780821917808"/>
  </r>
  <r>
    <d v="2021-11-16T00:00:00"/>
    <x v="5"/>
    <s v="TIFFANY - TTP"/>
    <x v="23"/>
    <x v="267"/>
    <x v="297"/>
    <x v="0"/>
    <n v="6951000"/>
    <n v="297.5599315068493"/>
  </r>
  <r>
    <d v="2021-11-16T00:00:00"/>
    <x v="0"/>
    <s v="TIFFANY - TTP"/>
    <x v="282"/>
    <x v="42"/>
    <x v="298"/>
    <x v="0"/>
    <n v="106509000"/>
    <n v="4559.4606164383558"/>
  </r>
  <r>
    <d v="2021-11-17T00:00:00"/>
    <x v="0"/>
    <s v="TIFFANY - TTP"/>
    <x v="66"/>
    <x v="240"/>
    <x v="299"/>
    <x v="0"/>
    <n v="285227000"/>
    <n v="12210.059931506848"/>
  </r>
  <r>
    <d v="2021-11-19T00:00:00"/>
    <x v="2"/>
    <s v="TIFFANY - TTP"/>
    <x v="275"/>
    <x v="268"/>
    <x v="300"/>
    <x v="0"/>
    <n v="114633000"/>
    <n v="4907.2345890410961"/>
  </r>
  <r>
    <d v="2021-11-19T00:00:00"/>
    <x v="1"/>
    <s v="TIFFANY - TTP"/>
    <x v="139"/>
    <x v="269"/>
    <x v="301"/>
    <x v="0"/>
    <n v="65892000"/>
    <n v="2820.7191780821918"/>
  </r>
  <r>
    <d v="2021-11-19T00:00:00"/>
    <x v="1"/>
    <s v="TIFFANY - TTP"/>
    <x v="283"/>
    <x v="270"/>
    <x v="302"/>
    <x v="0"/>
    <n v="68599000"/>
    <n v="2936.6010273972602"/>
  </r>
  <r>
    <d v="2021-11-20T00:00:00"/>
    <x v="2"/>
    <s v="TIFFANY - TTP"/>
    <x v="146"/>
    <x v="271"/>
    <x v="303"/>
    <x v="0"/>
    <n v="26176000"/>
    <n v="1120.5479452054794"/>
  </r>
  <r>
    <d v="2021-11-20T00:00:00"/>
    <x v="2"/>
    <s v="TIFFANY - TTP"/>
    <x v="284"/>
    <x v="271"/>
    <x v="303"/>
    <x v="0"/>
    <n v="65892000"/>
    <n v="2820.7191780821918"/>
  </r>
  <r>
    <d v="2021-11-20T00:00:00"/>
    <x v="1"/>
    <s v="TIFFANY - TTP"/>
    <x v="285"/>
    <x v="272"/>
    <x v="304"/>
    <x v="0"/>
    <n v="46034000"/>
    <n v="1970.6335616438357"/>
  </r>
  <r>
    <d v="2021-11-20T00:00:00"/>
    <x v="1"/>
    <s v="TIFFANY - TTP"/>
    <x v="123"/>
    <x v="272"/>
    <x v="305"/>
    <x v="0"/>
    <n v="26176000"/>
    <n v="1120.5479452054794"/>
  </r>
  <r>
    <d v="2021-11-20T00:00:00"/>
    <x v="2"/>
    <s v="TIFFANY - TTP"/>
    <x v="230"/>
    <x v="273"/>
    <x v="306"/>
    <x v="0"/>
    <n v="6951000"/>
    <n v="297.5599315068493"/>
  </r>
  <r>
    <d v="2021-11-21T00:00:00"/>
    <x v="2"/>
    <s v="TIFFANY - TTP"/>
    <x v="286"/>
    <x v="274"/>
    <x v="307"/>
    <x v="0"/>
    <n v="56865000"/>
    <n v="2434.2893835616437"/>
  </r>
  <r>
    <d v="2021-11-21T00:00:00"/>
    <x v="2"/>
    <s v="TIFFANY - TTP"/>
    <x v="287"/>
    <x v="274"/>
    <x v="307"/>
    <x v="0"/>
    <n v="79431000"/>
    <n v="3400.2996575342468"/>
  </r>
  <r>
    <d v="2021-11-22T00:00:00"/>
    <x v="1"/>
    <s v="TIFFANY - TTP"/>
    <x v="40"/>
    <x v="275"/>
    <x v="308"/>
    <x v="0"/>
    <n v="9388000"/>
    <n v="401.88356164383561"/>
  </r>
  <r>
    <d v="2021-11-22T00:00:00"/>
    <x v="1"/>
    <s v="TIFFANY - TTP"/>
    <x v="288"/>
    <x v="275"/>
    <x v="308"/>
    <x v="0"/>
    <n v="43326000"/>
    <n v="1854.708904109589"/>
  </r>
  <r>
    <d v="2021-11-22T00:00:00"/>
    <x v="1"/>
    <s v="TIFFANY - TTP"/>
    <x v="230"/>
    <x v="276"/>
    <x v="309"/>
    <x v="0"/>
    <n v="6951000"/>
    <n v="297.5599315068493"/>
  </r>
  <r>
    <d v="2021-11-22T00:00:00"/>
    <x v="1"/>
    <s v="TIFFANY - TTP"/>
    <x v="289"/>
    <x v="277"/>
    <x v="310"/>
    <x v="0"/>
    <n v="63184000"/>
    <n v="2704.794520547945"/>
  </r>
  <r>
    <d v="2021-11-22T00:00:00"/>
    <x v="1"/>
    <s v="TIFFANY - TTP"/>
    <x v="16"/>
    <x v="277"/>
    <x v="310"/>
    <x v="0"/>
    <n v="9388000"/>
    <n v="401.88356164383561"/>
  </r>
  <r>
    <d v="2021-11-22T00:00:00"/>
    <x v="1"/>
    <s v="TIFFANY - TTP"/>
    <x v="283"/>
    <x v="278"/>
    <x v="311"/>
    <x v="0"/>
    <n v="68599000"/>
    <n v="2936.6010273972602"/>
  </r>
  <r>
    <d v="2021-11-22T00:00:00"/>
    <x v="0"/>
    <s v="TIFFANY - TTP"/>
    <x v="290"/>
    <x v="279"/>
    <x v="312"/>
    <x v="0"/>
    <n v="388126000"/>
    <n v="16614.982876712329"/>
  </r>
  <r>
    <d v="2021-11-23T00:00:00"/>
    <x v="0"/>
    <s v="TIFFANY - TTP"/>
    <x v="291"/>
    <x v="280"/>
    <x v="313"/>
    <x v="0"/>
    <n v="46034000"/>
    <n v="1970.6335616438357"/>
  </r>
  <r>
    <d v="2021-11-23T00:00:00"/>
    <x v="0"/>
    <s v="TIFFANY - TTP"/>
    <x v="292"/>
    <x v="280"/>
    <x v="313"/>
    <x v="0"/>
    <n v="46034000"/>
    <n v="1970.6335616438357"/>
  </r>
  <r>
    <d v="2021-11-23T00:00:00"/>
    <x v="0"/>
    <s v="TIFFANY - TTP"/>
    <x v="293"/>
    <x v="281"/>
    <x v="314"/>
    <x v="0"/>
    <n v="6680000"/>
    <n v="285.95890410958901"/>
  </r>
  <r>
    <d v="2021-11-24T00:00:00"/>
    <x v="0"/>
    <s v="TIFFANY - TTP"/>
    <x v="294"/>
    <x v="154"/>
    <x v="315"/>
    <x v="0"/>
    <n v="83041000"/>
    <n v="3554.8373287671234"/>
  </r>
  <r>
    <d v="2021-11-24T00:00:00"/>
    <x v="0"/>
    <s v="TIFFANY - TTP"/>
    <x v="16"/>
    <x v="154"/>
    <x v="315"/>
    <x v="0"/>
    <n v="9388000"/>
    <n v="401.88356164383561"/>
  </r>
  <r>
    <d v="2021-11-25T00:00:00"/>
    <x v="2"/>
    <s v="TIFFANY - TTP"/>
    <x v="295"/>
    <x v="282"/>
    <x v="316"/>
    <x v="0"/>
    <n v="48742000"/>
    <n v="2086.5582191780823"/>
  </r>
  <r>
    <d v="2021-11-25T00:00:00"/>
    <x v="2"/>
    <s v="TIFFANY - TTP"/>
    <x v="296"/>
    <x v="282"/>
    <x v="317"/>
    <x v="0"/>
    <n v="80333000"/>
    <n v="3438.9126712328766"/>
  </r>
  <r>
    <d v="2021-11-26T00:00:00"/>
    <x v="1"/>
    <s v="TIFFANY - TTP"/>
    <x v="123"/>
    <x v="283"/>
    <x v="318"/>
    <x v="0"/>
    <n v="26176000"/>
    <n v="1120.5479452054794"/>
  </r>
  <r>
    <d v="2021-11-26T00:00:00"/>
    <x v="1"/>
    <s v="TIFFANY - TTP"/>
    <x v="297"/>
    <x v="284"/>
    <x v="319"/>
    <x v="0"/>
    <n v="60476000"/>
    <n v="2588.8698630136987"/>
  </r>
  <r>
    <d v="2021-11-26T00:00:00"/>
    <x v="1"/>
    <s v="TIFFANY - TTP"/>
    <x v="191"/>
    <x v="285"/>
    <x v="320"/>
    <x v="0"/>
    <n v="51450000"/>
    <n v="2202.4828767123286"/>
  </r>
  <r>
    <d v="2021-11-26T00:00:00"/>
    <x v="1"/>
    <s v="TIFFANY - TTP"/>
    <x v="293"/>
    <x v="286"/>
    <x v="321"/>
    <x v="0"/>
    <n v="6680000"/>
    <n v="285.95890410958901"/>
  </r>
  <r>
    <d v="2021-11-26T00:00:00"/>
    <x v="1"/>
    <s v="TIFFANY - TTP"/>
    <x v="128"/>
    <x v="286"/>
    <x v="321"/>
    <x v="0"/>
    <n v="8124000"/>
    <n v="347.77397260273972"/>
  </r>
  <r>
    <d v="2021-11-27T00:00:00"/>
    <x v="0"/>
    <s v="TIFFANY - TTP"/>
    <x v="298"/>
    <x v="287"/>
    <x v="322"/>
    <x v="0"/>
    <n v="71307000"/>
    <n v="3052.5256849315069"/>
  </r>
  <r>
    <d v="2021-11-27T00:00:00"/>
    <x v="1"/>
    <s v="TIFFANY - TTP"/>
    <x v="299"/>
    <x v="288"/>
    <x v="323"/>
    <x v="0"/>
    <n v="48742000"/>
    <n v="2086.5582191780823"/>
  </r>
  <r>
    <d v="2021-11-27T00:00:00"/>
    <x v="1"/>
    <s v="TIFFANY - TTP"/>
    <x v="300"/>
    <x v="289"/>
    <x v="324"/>
    <x v="0"/>
    <n v="27079000"/>
    <n v="1159.2037671232877"/>
  </r>
  <r>
    <d v="2021-11-28T00:00:00"/>
    <x v="0"/>
    <s v="TIFFANY - TTP"/>
    <x v="301"/>
    <x v="290"/>
    <x v="325"/>
    <x v="0"/>
    <n v="213018000"/>
    <n v="9118.9212328767117"/>
  </r>
  <r>
    <d v="2021-11-28T00:00:00"/>
    <x v="0"/>
    <s v="TIFFANY - TTP"/>
    <x v="299"/>
    <x v="291"/>
    <x v="326"/>
    <x v="0"/>
    <n v="48742000"/>
    <n v="2086.5582191780823"/>
  </r>
  <r>
    <d v="2021-11-29T00:00:00"/>
    <x v="6"/>
    <s v="TIFFANY - TTP"/>
    <x v="302"/>
    <x v="292"/>
    <x v="327"/>
    <x v="0"/>
    <n v="11554000"/>
    <n v="494.60616438356163"/>
  </r>
  <r>
    <d v="2021-11-30T00:00:00"/>
    <x v="2"/>
    <s v="TIFFANY - TTP"/>
    <x v="303"/>
    <x v="293"/>
    <x v="328"/>
    <x v="0"/>
    <n v="77626000"/>
    <n v="3323.0308219178082"/>
  </r>
  <r>
    <d v="2021-11-30T00:00:00"/>
    <x v="1"/>
    <s v="TIFFANY - TTP"/>
    <x v="304"/>
    <x v="294"/>
    <x v="329"/>
    <x v="0"/>
    <n v="37910000"/>
    <n v="1622.8595890410959"/>
  </r>
  <r>
    <d v="2021-11-30T00:00:00"/>
    <x v="1"/>
    <s v="TIFFANY - TTP"/>
    <x v="259"/>
    <x v="295"/>
    <x v="330"/>
    <x v="0"/>
    <n v="6951000"/>
    <n v="297.5599315068493"/>
  </r>
  <r>
    <d v="2021-11-30T00:00:00"/>
    <x v="1"/>
    <s v="TIFFANY - TTP"/>
    <x v="283"/>
    <x v="296"/>
    <x v="331"/>
    <x v="0"/>
    <n v="68599000"/>
    <n v="2936.6010273972602"/>
  </r>
  <r>
    <d v="2021-11-30T00:00:00"/>
    <x v="2"/>
    <s v="TIFFANY - TTP"/>
    <x v="152"/>
    <x v="293"/>
    <x v="332"/>
    <x v="0"/>
    <n v="10832000"/>
    <n v="463.69863013698631"/>
  </r>
  <r>
    <d v="2021-12-01T00:00:00"/>
    <x v="2"/>
    <s v="TIFFANY - TTP"/>
    <x v="305"/>
    <x v="297"/>
    <x v="333"/>
    <x v="0"/>
    <n v="76723000"/>
    <n v="3284.375"/>
  </r>
  <r>
    <d v="2021-12-01T00:00:00"/>
    <x v="2"/>
    <s v="TIFFANY - TTP"/>
    <x v="306"/>
    <x v="297"/>
    <x v="333"/>
    <x v="0"/>
    <n v="55963000"/>
    <n v="2395.6763698630139"/>
  </r>
  <r>
    <d v="2021-12-02T00:00:00"/>
    <x v="0"/>
    <s v="TIFFANY - TTP"/>
    <x v="307"/>
    <x v="298"/>
    <x v="334"/>
    <x v="0"/>
    <n v="234681000"/>
    <n v="10046.275684931506"/>
  </r>
  <r>
    <d v="2021-12-02T00:00:00"/>
    <x v="0"/>
    <s v="TIFFANY - TTP"/>
    <x v="308"/>
    <x v="299"/>
    <x v="335"/>
    <x v="0"/>
    <n v="27079000"/>
    <n v="1159.2037671232877"/>
  </r>
  <r>
    <d v="2021-12-02T00:00:00"/>
    <x v="0"/>
    <s v="TIFFANY - TTP"/>
    <x v="309"/>
    <x v="300"/>
    <x v="336"/>
    <x v="0"/>
    <n v="46034000"/>
    <n v="1970.6335616438357"/>
  </r>
  <r>
    <d v="2021-12-02T00:00:00"/>
    <x v="0"/>
    <s v="TIFFANY - TTP"/>
    <x v="310"/>
    <x v="301"/>
    <x v="337"/>
    <x v="0"/>
    <n v="602949000"/>
    <n v="25811.172945205479"/>
  </r>
  <r>
    <d v="2021-12-04T00:00:00"/>
    <x v="2"/>
    <s v="TIFFANY - TTP"/>
    <x v="60"/>
    <x v="302"/>
    <x v="338"/>
    <x v="0"/>
    <n v="43326000"/>
    <n v="1854.708904109589"/>
  </r>
  <r>
    <d v="2021-12-04T00:00:00"/>
    <x v="2"/>
    <s v="TIFFANY - TTP"/>
    <x v="205"/>
    <x v="303"/>
    <x v="339"/>
    <x v="0"/>
    <n v="56865000"/>
    <n v="2434.2893835616437"/>
  </r>
  <r>
    <d v="2021-12-04T00:00:00"/>
    <x v="1"/>
    <s v="TIFFANY - TTP"/>
    <x v="311"/>
    <x v="304"/>
    <x v="340"/>
    <x v="0"/>
    <n v="13630000"/>
    <n v="583.47602739726028"/>
  </r>
  <r>
    <d v="2021-12-04T00:00:00"/>
    <x v="0"/>
    <s v="TIFFANY - TTP"/>
    <x v="54"/>
    <x v="34"/>
    <x v="341"/>
    <x v="0"/>
    <n v="55060000"/>
    <n v="2357.0205479452056"/>
  </r>
  <r>
    <d v="2021-12-04T00:00:00"/>
    <x v="0"/>
    <s v="TIFFANY - TTP"/>
    <x v="312"/>
    <x v="305"/>
    <x v="342"/>
    <x v="0"/>
    <n v="102899000"/>
    <n v="4404.9229452054797"/>
  </r>
  <r>
    <d v="2021-12-05T00:00:00"/>
    <x v="1"/>
    <s v="TIFFANY - TTP"/>
    <x v="313"/>
    <x v="306"/>
    <x v="343"/>
    <x v="0"/>
    <n v="59573000"/>
    <n v="2550.2140410958905"/>
  </r>
  <r>
    <d v="2021-12-05T00:00:00"/>
    <x v="2"/>
    <s v="TIFFANY - TTP"/>
    <x v="314"/>
    <x v="307"/>
    <x v="344"/>
    <x v="0"/>
    <n v="6951000"/>
    <n v="297.5599315068493"/>
  </r>
  <r>
    <d v="2021-12-05T00:00:00"/>
    <x v="2"/>
    <s v="TIFFANY - TTP"/>
    <x v="315"/>
    <x v="307"/>
    <x v="345"/>
    <x v="0"/>
    <n v="55060000"/>
    <n v="2357.0205479452056"/>
  </r>
  <r>
    <d v="2021-12-05T00:00:00"/>
    <x v="2"/>
    <s v="TIFFANY - TTP"/>
    <x v="316"/>
    <x v="307"/>
    <x v="346"/>
    <x v="0"/>
    <n v="9388000"/>
    <n v="401.88356164383561"/>
  </r>
  <r>
    <d v="2021-12-05T00:00:00"/>
    <x v="0"/>
    <s v="TIFFANY - TTP"/>
    <x v="317"/>
    <x v="186"/>
    <x v="347"/>
    <x v="0"/>
    <n v="162472000"/>
    <n v="6955.1369863013697"/>
  </r>
  <r>
    <d v="2021-12-06T00:00:00"/>
    <x v="0"/>
    <s v="TIFFANY - TTP"/>
    <x v="318"/>
    <x v="102"/>
    <x v="348"/>
    <x v="0"/>
    <n v="267175000"/>
    <n v="11437.285958904109"/>
  </r>
  <r>
    <d v="2021-12-06T00:00:00"/>
    <x v="0"/>
    <s v="TIFFANY - TTP"/>
    <x v="319"/>
    <x v="308"/>
    <x v="349"/>
    <x v="0"/>
    <n v="71307000"/>
    <n v="3052.5256849315069"/>
  </r>
  <r>
    <d v="2021-12-06T00:00:00"/>
    <x v="0"/>
    <s v="TIFFANY - TTP"/>
    <x v="320"/>
    <x v="308"/>
    <x v="349"/>
    <x v="0"/>
    <n v="2130176000"/>
    <n v="91189.04109589041"/>
  </r>
  <r>
    <d v="2021-12-07T00:00:00"/>
    <x v="2"/>
    <s v="TIFFANY - TTP"/>
    <x v="37"/>
    <x v="309"/>
    <x v="350"/>
    <x v="0"/>
    <n v="103801000"/>
    <n v="4443.53595890411"/>
  </r>
  <r>
    <d v="2021-12-07T00:00:00"/>
    <x v="1"/>
    <s v="TIFFANY - TTP"/>
    <x v="321"/>
    <x v="310"/>
    <x v="351"/>
    <x v="0"/>
    <n v="6951000"/>
    <n v="297.5599315068493"/>
  </r>
  <r>
    <d v="2021-12-08T00:00:00"/>
    <x v="1"/>
    <s v="TIFFANY - TTP"/>
    <x v="322"/>
    <x v="311"/>
    <x v="352"/>
    <x v="0"/>
    <n v="55060000"/>
    <n v="2357.0205479452056"/>
  </r>
  <r>
    <d v="2021-12-08T00:00:00"/>
    <x v="2"/>
    <s v="TIFFANY - TTP"/>
    <x v="283"/>
    <x v="312"/>
    <x v="353"/>
    <x v="0"/>
    <n v="68599000"/>
    <n v="2936.6010273972602"/>
  </r>
  <r>
    <d v="2021-12-09T00:00:00"/>
    <x v="2"/>
    <s v="TIFFANY - TTP"/>
    <x v="209"/>
    <x v="313"/>
    <x v="354"/>
    <x v="0"/>
    <n v="92067000"/>
    <n v="3941.2243150684931"/>
  </r>
  <r>
    <d v="2021-12-09T00:00:00"/>
    <x v="1"/>
    <s v="TIFFANY - TTP"/>
    <x v="323"/>
    <x v="20"/>
    <x v="355"/>
    <x v="0"/>
    <n v="8124000"/>
    <n v="347.77397260273972"/>
  </r>
  <r>
    <d v="2021-12-09T00:00:00"/>
    <x v="1"/>
    <s v="TIFFANY - TTP"/>
    <x v="324"/>
    <x v="314"/>
    <x v="356"/>
    <x v="0"/>
    <n v="28884000"/>
    <n v="1236.472602739726"/>
  </r>
  <r>
    <d v="2021-12-09T00:00:00"/>
    <x v="2"/>
    <s v="TIFFANY - TTP"/>
    <x v="325"/>
    <x v="315"/>
    <x v="357"/>
    <x v="0"/>
    <n v="125464000"/>
    <n v="5370.8904109589039"/>
  </r>
  <r>
    <d v="2021-12-09T00:00:00"/>
    <x v="2"/>
    <s v="TIFFANY - TTP"/>
    <x v="326"/>
    <x v="312"/>
    <x v="358"/>
    <x v="0"/>
    <n v="56865000"/>
    <n v="2434.2893835616437"/>
  </r>
  <r>
    <d v="2021-12-09T00:00:00"/>
    <x v="1"/>
    <s v="TIFFANY - TTP"/>
    <x v="327"/>
    <x v="316"/>
    <x v="359"/>
    <x v="0"/>
    <n v="71307000"/>
    <n v="3052.5256849315069"/>
  </r>
  <r>
    <d v="2021-12-10T00:00:00"/>
    <x v="0"/>
    <s v="TIFFANY - TTP"/>
    <x v="328"/>
    <x v="317"/>
    <x v="360"/>
    <x v="0"/>
    <n v="7402000"/>
    <n v="316.86643835616439"/>
  </r>
  <r>
    <d v="2021-12-10T00:00:00"/>
    <x v="1"/>
    <s v="TIFFANY - TTP"/>
    <x v="329"/>
    <x v="318"/>
    <x v="361"/>
    <x v="0"/>
    <n v="22566000"/>
    <n v="966.0102739726027"/>
  </r>
  <r>
    <d v="2021-12-10T00:00:00"/>
    <x v="1"/>
    <s v="TIFFANY - TTP"/>
    <x v="329"/>
    <x v="318"/>
    <x v="362"/>
    <x v="1"/>
    <n v="-22566000"/>
    <n v="-966.0102739726027"/>
  </r>
  <r>
    <d v="2021-12-10T00:00:00"/>
    <x v="1"/>
    <s v="TIFFANY - TTP"/>
    <x v="329"/>
    <x v="318"/>
    <x v="363"/>
    <x v="0"/>
    <n v="22566000"/>
    <n v="966.0102739726027"/>
  </r>
  <r>
    <d v="2021-12-11T00:00:00"/>
    <x v="1"/>
    <s v="TIFFANY - TTP"/>
    <x v="330"/>
    <x v="319"/>
    <x v="364"/>
    <x v="0"/>
    <n v="13630000"/>
    <n v="583.47602739726028"/>
  </r>
  <r>
    <d v="2021-12-11T00:00:00"/>
    <x v="1"/>
    <s v="TIFFANY - TTP"/>
    <x v="175"/>
    <x v="320"/>
    <x v="365"/>
    <x v="0"/>
    <n v="6951000"/>
    <n v="297.5599315068493"/>
  </r>
  <r>
    <d v="2021-12-11T00:00:00"/>
    <x v="1"/>
    <s v="TIFFANY - TTP"/>
    <x v="331"/>
    <x v="321"/>
    <x v="366"/>
    <x v="0"/>
    <n v="29787000"/>
    <n v="1275.1284246575342"/>
  </r>
  <r>
    <d v="2021-12-11T00:00:00"/>
    <x v="1"/>
    <s v="TIFFANY - TTP"/>
    <x v="332"/>
    <x v="322"/>
    <x v="367"/>
    <x v="0"/>
    <n v="31592000"/>
    <n v="1352.3972602739725"/>
  </r>
  <r>
    <d v="2021-12-11T00:00:00"/>
    <x v="1"/>
    <s v="TIFFANY - TTP"/>
    <x v="219"/>
    <x v="323"/>
    <x v="368"/>
    <x v="0"/>
    <n v="60476000"/>
    <n v="2588.8698630136987"/>
  </r>
  <r>
    <d v="2021-12-11T00:00:00"/>
    <x v="1"/>
    <s v="TIFFANY - TTP"/>
    <x v="333"/>
    <x v="324"/>
    <x v="369"/>
    <x v="0"/>
    <n v="56865000"/>
    <n v="2434.2893835616437"/>
  </r>
  <r>
    <d v="2021-12-11T00:00:00"/>
    <x v="1"/>
    <s v="TIFFANY - TTP"/>
    <x v="129"/>
    <x v="325"/>
    <x v="370"/>
    <x v="0"/>
    <n v="7763000"/>
    <n v="332.32020547945206"/>
  </r>
  <r>
    <d v="2021-12-11T00:00:00"/>
    <x v="1"/>
    <s v="TIFFANY - TTP"/>
    <x v="79"/>
    <x v="326"/>
    <x v="371"/>
    <x v="0"/>
    <n v="55060000"/>
    <n v="2357.0205479452056"/>
  </r>
  <r>
    <d v="2021-12-11T00:00:00"/>
    <x v="1"/>
    <s v="TIFFANY - TTP"/>
    <x v="219"/>
    <x v="323"/>
    <x v="372"/>
    <x v="1"/>
    <n v="-60476000"/>
    <n v="-2588.8698630136987"/>
  </r>
  <r>
    <d v="2021-12-11T00:00:00"/>
    <x v="1"/>
    <s v="TIFFANY - TTP"/>
    <x v="129"/>
    <x v="327"/>
    <x v="373"/>
    <x v="0"/>
    <n v="7763000"/>
    <n v="332.32020547945206"/>
  </r>
  <r>
    <d v="2021-12-11T00:00:00"/>
    <x v="1"/>
    <s v="TIFFANY - TTP"/>
    <x v="219"/>
    <x v="323"/>
    <x v="374"/>
    <x v="0"/>
    <n v="60476000"/>
    <n v="2588.8698630136987"/>
  </r>
  <r>
    <d v="2021-12-12T00:00:00"/>
    <x v="0"/>
    <s v="TIFFANY - TTP"/>
    <x v="36"/>
    <x v="328"/>
    <x v="375"/>
    <x v="0"/>
    <n v="55060000"/>
    <n v="2357.0205479452056"/>
  </r>
  <r>
    <d v="2021-12-12T00:00:00"/>
    <x v="1"/>
    <s v="TIFFANY - TTP"/>
    <x v="123"/>
    <x v="329"/>
    <x v="376"/>
    <x v="0"/>
    <n v="26176000"/>
    <n v="1120.5479452054794"/>
  </r>
  <r>
    <d v="2021-12-12T00:00:00"/>
    <x v="1"/>
    <s v="TIFFANY - TTP"/>
    <x v="334"/>
    <x v="330"/>
    <x v="377"/>
    <x v="0"/>
    <n v="56865000"/>
    <n v="2434.2893835616437"/>
  </r>
  <r>
    <d v="2021-12-12T00:00:00"/>
    <x v="1"/>
    <s v="TIFFANY - TTP"/>
    <x v="335"/>
    <x v="331"/>
    <x v="378"/>
    <x v="0"/>
    <n v="60476000"/>
    <n v="2588.8698630136987"/>
  </r>
  <r>
    <d v="2021-12-12T00:00:00"/>
    <x v="1"/>
    <s v="TIFFANY - TTP"/>
    <x v="201"/>
    <x v="332"/>
    <x v="379"/>
    <x v="0"/>
    <n v="13179000"/>
    <n v="564.16952054794524"/>
  </r>
  <r>
    <d v="2021-12-13T00:00:00"/>
    <x v="1"/>
    <s v="TIFFANY - TTP"/>
    <x v="321"/>
    <x v="333"/>
    <x v="380"/>
    <x v="0"/>
    <n v="6951000"/>
    <n v="297.5599315068493"/>
  </r>
  <r>
    <d v="2021-12-13T00:00:00"/>
    <x v="1"/>
    <s v="TIFFANY - TTP"/>
    <x v="336"/>
    <x v="334"/>
    <x v="381"/>
    <x v="0"/>
    <n v="7763000"/>
    <n v="332.32020547945206"/>
  </r>
  <r>
    <d v="2021-12-13T00:00:00"/>
    <x v="1"/>
    <s v="TIFFANY - TTP"/>
    <x v="227"/>
    <x v="334"/>
    <x v="381"/>
    <x v="0"/>
    <n v="13179000"/>
    <n v="564.16952054794524"/>
  </r>
  <r>
    <d v="2021-12-14T00:00:00"/>
    <x v="5"/>
    <s v="TIFFANY - TTP"/>
    <x v="337"/>
    <x v="335"/>
    <x v="382"/>
    <x v="0"/>
    <n v="17963000"/>
    <n v="768.96404109589037"/>
  </r>
  <r>
    <d v="2021-12-15T00:00:00"/>
    <x v="5"/>
    <s v="TIFFANY - TTP"/>
    <x v="72"/>
    <x v="336"/>
    <x v="383"/>
    <x v="0"/>
    <n v="26176000"/>
    <n v="1120.5479452054794"/>
  </r>
  <r>
    <d v="2021-12-15T00:00:00"/>
    <x v="0"/>
    <s v="TIFFANY - TTP"/>
    <x v="338"/>
    <x v="337"/>
    <x v="384"/>
    <x v="0"/>
    <n v="4097881000"/>
    <n v="175422.98801369863"/>
  </r>
  <r>
    <d v="2021-12-15T00:00:00"/>
    <x v="5"/>
    <s v="TIFFANY - TTP"/>
    <x v="314"/>
    <x v="338"/>
    <x v="385"/>
    <x v="0"/>
    <n v="6951000"/>
    <n v="297.55993150684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5">
  <r>
    <d v="2021-05-12T00:00:00"/>
    <x v="0"/>
    <s v="TIFFANY - TTP"/>
    <x v="0"/>
    <s v="60080458"/>
    <s v="000000P105000000002"/>
    <n v="1"/>
    <n v="5416000"/>
    <x v="0"/>
  </r>
  <r>
    <d v="2021-05-12T00:00:00"/>
    <x v="0"/>
    <s v="TIFFANY - TTP"/>
    <x v="1"/>
    <s v="60082960"/>
    <s v="000000P105000000003"/>
    <n v="1"/>
    <n v="38813000"/>
    <x v="0"/>
  </r>
  <r>
    <d v="2021-05-12T00:00:00"/>
    <x v="0"/>
    <s v="TIFFANY - TTP"/>
    <x v="2"/>
    <s v="60082960"/>
    <s v="000000P105000000003"/>
    <n v="1"/>
    <n v="6229000"/>
    <x v="0"/>
  </r>
  <r>
    <d v="2021-05-12T00:00:00"/>
    <x v="0"/>
    <s v="TIFFANY - TTP"/>
    <x v="3"/>
    <s v="27001049"/>
    <s v="000000P105000000004"/>
    <n v="1"/>
    <n v="46937000"/>
    <x v="0"/>
  </r>
  <r>
    <d v="2021-05-12T00:00:00"/>
    <x v="1"/>
    <s v="TIFFANY - TTP"/>
    <x v="4"/>
    <s v="60083471"/>
    <s v="000000P105000000005"/>
    <n v="1"/>
    <n v="28884000"/>
    <x v="0"/>
  </r>
  <r>
    <d v="2021-05-12T00:00:00"/>
    <x v="1"/>
    <s v="TIFFANY - TTP"/>
    <x v="5"/>
    <s v="60083471"/>
    <s v="000000P105000000005"/>
    <n v="1"/>
    <n v="28884000"/>
    <x v="0"/>
  </r>
  <r>
    <d v="2021-05-12T00:00:00"/>
    <x v="0"/>
    <s v="TIFFANY - TTP"/>
    <x v="6"/>
    <s v="60073222"/>
    <s v="000000P105000000006"/>
    <n v="1"/>
    <n v="114633000"/>
    <x v="0"/>
  </r>
  <r>
    <d v="2021-05-13T00:00:00"/>
    <x v="1"/>
    <s v="TIFFANY - TTP"/>
    <x v="7"/>
    <s v="60084724"/>
    <s v="000000P105000000008"/>
    <n v="1"/>
    <n v="6229000"/>
    <x v="0"/>
  </r>
  <r>
    <d v="2021-05-13T00:00:00"/>
    <x v="1"/>
    <s v="TIFFANY - TTP"/>
    <x v="8"/>
    <s v="60084724"/>
    <s v="000000P105000000008"/>
    <n v="1"/>
    <n v="6229000"/>
    <x v="0"/>
  </r>
  <r>
    <d v="2021-05-16T00:00:00"/>
    <x v="2"/>
    <s v="TIFFANY - TTP"/>
    <x v="9"/>
    <s v="MA002707"/>
    <s v="000000P105000000010"/>
    <n v="1"/>
    <n v="6229000"/>
    <x v="0"/>
  </r>
  <r>
    <d v="2021-05-16T00:00:00"/>
    <x v="1"/>
    <s v="TIFFANY - TTP"/>
    <x v="10"/>
    <s v="60084728"/>
    <s v="000000P105000000011"/>
    <n v="1"/>
    <n v="6229000"/>
    <x v="0"/>
  </r>
  <r>
    <d v="2021-05-16T00:00:00"/>
    <x v="2"/>
    <s v="TIFFANY - TTP"/>
    <x v="9"/>
    <s v="MA002707"/>
    <s v="000000P105000000012"/>
    <n v="-1"/>
    <n v="-6229000"/>
    <x v="0"/>
  </r>
  <r>
    <d v="2021-05-16T00:00:00"/>
    <x v="1"/>
    <s v="TIFFANY - TTP"/>
    <x v="10"/>
    <s v="60084728"/>
    <s v="000000P105000000014"/>
    <n v="-1"/>
    <n v="-6229000"/>
    <x v="0"/>
  </r>
  <r>
    <d v="2021-05-14T00:00:00"/>
    <x v="1"/>
    <s v="TIFFANY - TTP"/>
    <x v="7"/>
    <s v="60084727"/>
    <s v="000000P105000000016"/>
    <n v="1"/>
    <n v="6229000"/>
    <x v="0"/>
  </r>
  <r>
    <d v="2021-05-14T00:00:00"/>
    <x v="0"/>
    <s v="TIFFANY - TTP"/>
    <x v="11"/>
    <s v="27001451"/>
    <s v="000000P105000000017"/>
    <n v="1"/>
    <n v="56865000"/>
    <x v="0"/>
  </r>
  <r>
    <d v="2021-05-14T00:00:00"/>
    <x v="0"/>
    <s v="TIFFANY - TTP"/>
    <x v="12"/>
    <s v="27001451"/>
    <s v="000000P105000000017"/>
    <n v="1"/>
    <n v="27982000"/>
    <x v="0"/>
  </r>
  <r>
    <d v="2021-05-14T00:00:00"/>
    <x v="1"/>
    <s v="TIFFANY - TTP"/>
    <x v="13"/>
    <s v="60084728"/>
    <s v="000000P105000000018"/>
    <n v="1"/>
    <n v="63184000"/>
    <x v="0"/>
  </r>
  <r>
    <d v="2021-05-15T00:00:00"/>
    <x v="2"/>
    <s v="TIFFANY - TTP"/>
    <x v="9"/>
    <s v="MA002707"/>
    <s v="000000P105000000019"/>
    <n v="1"/>
    <n v="6229000"/>
    <x v="0"/>
  </r>
  <r>
    <d v="2021-05-15T00:00:00"/>
    <x v="1"/>
    <s v="TIFFANY - TTP"/>
    <x v="10"/>
    <s v="60084728"/>
    <s v="000000P105000000020"/>
    <n v="1"/>
    <n v="6229000"/>
    <x v="0"/>
  </r>
  <r>
    <d v="2021-05-16T00:00:00"/>
    <x v="0"/>
    <s v="TIFFANY - TTP"/>
    <x v="14"/>
    <s v="60080904"/>
    <s v="000000P105000000021"/>
    <n v="1"/>
    <n v="26176000"/>
    <x v="0"/>
  </r>
  <r>
    <d v="2021-05-16T00:00:00"/>
    <x v="0"/>
    <s v="TIFFANY - TTP"/>
    <x v="15"/>
    <s v="60074161"/>
    <s v="000000P105000000022"/>
    <n v="1"/>
    <n v="86652000"/>
    <x v="0"/>
  </r>
  <r>
    <d v="2021-05-16T00:00:00"/>
    <x v="0"/>
    <s v="TIFFANY - TTP"/>
    <x v="16"/>
    <s v="60074161"/>
    <s v="000000P105000000022"/>
    <n v="1"/>
    <n v="8666000"/>
    <x v="0"/>
  </r>
  <r>
    <d v="2021-05-16T00:00:00"/>
    <x v="0"/>
    <s v="TIFFANY - TTP"/>
    <x v="17"/>
    <s v="60074161"/>
    <s v="000000P105000000022"/>
    <n v="1"/>
    <n v="5958000"/>
    <x v="0"/>
  </r>
  <r>
    <d v="2021-05-16T00:00:00"/>
    <x v="1"/>
    <s v="TIFFANY - TTP"/>
    <x v="2"/>
    <s v="60084725"/>
    <s v="000000P105000000023"/>
    <n v="1"/>
    <n v="6229000"/>
    <x v="0"/>
  </r>
  <r>
    <d v="2021-05-16T00:00:00"/>
    <x v="1"/>
    <s v="TIFFANY - TTP"/>
    <x v="18"/>
    <s v="60084726"/>
    <s v="000000P105000000024"/>
    <n v="1"/>
    <n v="2618000"/>
    <x v="0"/>
  </r>
  <r>
    <d v="2021-05-17T00:00:00"/>
    <x v="0"/>
    <s v="TIFFANY - TTP"/>
    <x v="19"/>
    <s v="60089588"/>
    <s v="000000P105000000025"/>
    <n v="1"/>
    <n v="40618000"/>
    <x v="0"/>
  </r>
  <r>
    <d v="2021-05-17T00:00:00"/>
    <x v="0"/>
    <s v="TIFFANY - TTP"/>
    <x v="20"/>
    <s v="60073961"/>
    <s v="000000P105000000026"/>
    <n v="1"/>
    <n v="48742000"/>
    <x v="0"/>
  </r>
  <r>
    <d v="2021-05-17T00:00:00"/>
    <x v="1"/>
    <s v="TIFFANY - TTP"/>
    <x v="21"/>
    <s v="60084729"/>
    <s v="000000P105000000027"/>
    <n v="1"/>
    <n v="35203000"/>
    <x v="0"/>
  </r>
  <r>
    <d v="2021-05-17T00:00:00"/>
    <x v="1"/>
    <s v="TIFFANY - TTP"/>
    <x v="22"/>
    <s v="60084729"/>
    <s v="000000P105000000027"/>
    <n v="1"/>
    <n v="27982000"/>
    <x v="0"/>
  </r>
  <r>
    <d v="2021-05-18T00:00:00"/>
    <x v="1"/>
    <s v="TIFFANY - TTP"/>
    <x v="23"/>
    <s v="23000843"/>
    <s v="000000P105000000029"/>
    <n v="1"/>
    <n v="5416000"/>
    <x v="0"/>
  </r>
  <r>
    <d v="2021-05-18T00:00:00"/>
    <x v="0"/>
    <s v="TIFFANY - TTP"/>
    <x v="24"/>
    <s v="05002597"/>
    <s v="000000P105000000030"/>
    <n v="1"/>
    <n v="76723000"/>
    <x v="0"/>
  </r>
  <r>
    <d v="2021-05-18T00:00:00"/>
    <x v="0"/>
    <s v="TIFFANY - TTP"/>
    <x v="16"/>
    <s v="05002597"/>
    <s v="000000P105000000030"/>
    <n v="1"/>
    <n v="8666000"/>
    <x v="0"/>
  </r>
  <r>
    <d v="2021-05-18T00:00:00"/>
    <x v="0"/>
    <s v="TIFFANY - TTP"/>
    <x v="25"/>
    <s v="05002597"/>
    <s v="000000P105000000030"/>
    <n v="1"/>
    <n v="80333000"/>
    <x v="0"/>
  </r>
  <r>
    <d v="2021-05-18T00:00:00"/>
    <x v="0"/>
    <s v="TIFFANY - TTP"/>
    <x v="26"/>
    <s v="05002597"/>
    <s v="000000P105000000030"/>
    <n v="1"/>
    <n v="7402000"/>
    <x v="0"/>
  </r>
  <r>
    <d v="2021-05-18T00:00:00"/>
    <x v="0"/>
    <s v="TIFFANY - TTP"/>
    <x v="27"/>
    <s v="05002597"/>
    <s v="000000P105000000030"/>
    <n v="1"/>
    <n v="7402000"/>
    <x v="0"/>
  </r>
  <r>
    <d v="2021-05-18T00:00:00"/>
    <x v="0"/>
    <s v="TIFFANY - TTP"/>
    <x v="28"/>
    <s v="99000488"/>
    <s v="000000P105000000031"/>
    <n v="1"/>
    <n v="6229000"/>
    <x v="0"/>
  </r>
  <r>
    <d v="2021-05-19T00:00:00"/>
    <x v="1"/>
    <s v="TIFFANY - TTP"/>
    <x v="29"/>
    <s v="60084730"/>
    <s v="000000P105000000032"/>
    <n v="1"/>
    <n v="11554000"/>
    <x v="0"/>
  </r>
  <r>
    <d v="2021-05-19T00:00:00"/>
    <x v="1"/>
    <s v="TIFFANY - TTP"/>
    <x v="30"/>
    <s v="60084731"/>
    <s v="000000P105000000033"/>
    <n v="1"/>
    <n v="11464000"/>
    <x v="0"/>
  </r>
  <r>
    <d v="2021-05-19T00:00:00"/>
    <x v="1"/>
    <s v="TIFFANY - TTP"/>
    <x v="31"/>
    <s v="60084731"/>
    <s v="000000P105000000033"/>
    <n v="1"/>
    <n v="6229000"/>
    <x v="0"/>
  </r>
  <r>
    <d v="2021-05-20T00:00:00"/>
    <x v="1"/>
    <s v="TIFFANY - TTP"/>
    <x v="0"/>
    <s v="60084732"/>
    <s v="000000P105000000034"/>
    <n v="1"/>
    <n v="5416000"/>
    <x v="0"/>
  </r>
  <r>
    <d v="2021-05-20T00:00:00"/>
    <x v="1"/>
    <s v="TIFFANY - TTP"/>
    <x v="32"/>
    <s v="60084734"/>
    <s v="000000P105000000037"/>
    <n v="1"/>
    <n v="37008000"/>
    <x v="0"/>
  </r>
  <r>
    <d v="2021-05-22T00:00:00"/>
    <x v="1"/>
    <s v="TIFFANY - TTP"/>
    <x v="33"/>
    <s v="60084737"/>
    <s v="000000P105000000038"/>
    <n v="1"/>
    <n v="36105000"/>
    <x v="0"/>
  </r>
  <r>
    <d v="2021-05-22T00:00:00"/>
    <x v="1"/>
    <s v="TIFFANY - TTP"/>
    <x v="34"/>
    <s v="60084738"/>
    <s v="000000P105000000039"/>
    <n v="1"/>
    <n v="56865000"/>
    <x v="0"/>
  </r>
  <r>
    <d v="2021-05-22T00:00:00"/>
    <x v="1"/>
    <s v="TIFFANY - TTP"/>
    <x v="35"/>
    <s v="60084736"/>
    <s v="000000P105000000040"/>
    <n v="1"/>
    <n v="26176000"/>
    <x v="0"/>
  </r>
  <r>
    <d v="2021-05-22T00:00:00"/>
    <x v="0"/>
    <s v="TIFFANY - TTP"/>
    <x v="36"/>
    <s v="22000031"/>
    <s v="000000P105000000041"/>
    <n v="1"/>
    <n v="55060000"/>
    <x v="0"/>
  </r>
  <r>
    <d v="2021-05-22T00:00:00"/>
    <x v="0"/>
    <s v="TIFFANY - TTP"/>
    <x v="37"/>
    <s v="22000031"/>
    <s v="000000P105000000041"/>
    <n v="1"/>
    <n v="103801000"/>
    <x v="0"/>
  </r>
  <r>
    <d v="2021-05-22T00:00:00"/>
    <x v="1"/>
    <s v="TIFFANY - TTP"/>
    <x v="38"/>
    <s v="60084740"/>
    <s v="000000P105000000042"/>
    <n v="1"/>
    <n v="5416000"/>
    <x v="0"/>
  </r>
  <r>
    <d v="2021-05-22T00:00:00"/>
    <x v="0"/>
    <s v="TIFFANY - TTP"/>
    <x v="39"/>
    <s v="20002141"/>
    <s v="000000P105000000043"/>
    <n v="1"/>
    <n v="83041000"/>
    <x v="0"/>
  </r>
  <r>
    <d v="2021-05-22T00:00:00"/>
    <x v="0"/>
    <s v="TIFFANY - TTP"/>
    <x v="40"/>
    <s v="20002141"/>
    <s v="000000P105000000043"/>
    <n v="1"/>
    <n v="8666000"/>
    <x v="0"/>
  </r>
  <r>
    <d v="2021-05-22T00:00:00"/>
    <x v="0"/>
    <s v="TIFFANY - TTP"/>
    <x v="41"/>
    <s v="20002141"/>
    <s v="000000P105000000043"/>
    <n v="1"/>
    <n v="67697000"/>
    <x v="0"/>
  </r>
  <r>
    <d v="2021-05-22T00:00:00"/>
    <x v="1"/>
    <s v="TIFFANY - TTP"/>
    <x v="21"/>
    <s v="60084741"/>
    <s v="000000P105000000044"/>
    <n v="1"/>
    <n v="35203000"/>
    <x v="0"/>
  </r>
  <r>
    <d v="2021-05-22T00:00:00"/>
    <x v="1"/>
    <s v="TIFFANY - TTP"/>
    <x v="42"/>
    <s v="60084741"/>
    <s v="000000P105000000044"/>
    <n v="1"/>
    <n v="34300000"/>
    <x v="0"/>
  </r>
  <r>
    <d v="2021-05-22T00:00:00"/>
    <x v="0"/>
    <s v="TIFFANY - TTP"/>
    <x v="43"/>
    <s v="60084742"/>
    <s v="000000P105000000045"/>
    <n v="1"/>
    <n v="43326000"/>
    <x v="0"/>
  </r>
  <r>
    <d v="2021-05-22T00:00:00"/>
    <x v="0"/>
    <s v="TIFFANY - TTP"/>
    <x v="44"/>
    <s v="60084742"/>
    <s v="000000P105000000045"/>
    <n v="1"/>
    <n v="43326000"/>
    <x v="0"/>
  </r>
  <r>
    <d v="2021-05-22T00:00:00"/>
    <x v="1"/>
    <s v="TIFFANY - TTP"/>
    <x v="45"/>
    <s v="60084743"/>
    <s v="000000P105000000046"/>
    <n v="1"/>
    <n v="12366000"/>
    <x v="0"/>
  </r>
  <r>
    <d v="2021-05-23T00:00:00"/>
    <x v="0"/>
    <s v="TIFFANY - TTP"/>
    <x v="46"/>
    <s v="09000030"/>
    <s v="000000P105000000047"/>
    <n v="1"/>
    <n v="13630000"/>
    <x v="0"/>
  </r>
  <r>
    <d v="2021-05-23T00:00:00"/>
    <x v="0"/>
    <s v="TIFFANY - TTP"/>
    <x v="47"/>
    <s v="22000398"/>
    <s v="000000P105000000048"/>
    <n v="1"/>
    <n v="22566000"/>
    <x v="0"/>
  </r>
  <r>
    <d v="2021-05-23T00:00:00"/>
    <x v="0"/>
    <s v="TIFFANY - TTP"/>
    <x v="33"/>
    <s v="22000398"/>
    <s v="000000P105000000048"/>
    <n v="1"/>
    <n v="36105000"/>
    <x v="0"/>
  </r>
  <r>
    <d v="2021-05-23T00:00:00"/>
    <x v="0"/>
    <s v="TIFFANY - TTP"/>
    <x v="48"/>
    <s v="22000031"/>
    <s v="000000P105000000049"/>
    <n v="1"/>
    <n v="48742000"/>
    <x v="0"/>
  </r>
  <r>
    <d v="2021-05-23T00:00:00"/>
    <x v="1"/>
    <s v="TIFFANY - TTP"/>
    <x v="49"/>
    <s v="60084744"/>
    <s v="000000P105000000050"/>
    <n v="1"/>
    <n v="8124000"/>
    <x v="0"/>
  </r>
  <r>
    <d v="2021-05-23T00:00:00"/>
    <x v="1"/>
    <s v="TIFFANY - TTP"/>
    <x v="50"/>
    <s v="60084747"/>
    <s v="000000P105000000051"/>
    <n v="1"/>
    <n v="24371000"/>
    <x v="0"/>
  </r>
  <r>
    <d v="2021-05-23T00:00:00"/>
    <x v="1"/>
    <s v="TIFFANY - TTP"/>
    <x v="51"/>
    <s v="60084747"/>
    <s v="000000P105000000052"/>
    <n v="1"/>
    <n v="24371000"/>
    <x v="0"/>
  </r>
  <r>
    <d v="2021-05-23T00:00:00"/>
    <x v="1"/>
    <s v="TIFFANY - TTP"/>
    <x v="30"/>
    <s v="60084746"/>
    <s v="000000P105000000053"/>
    <n v="1"/>
    <n v="11464000"/>
    <x v="0"/>
  </r>
  <r>
    <d v="2021-05-23T00:00:00"/>
    <x v="0"/>
    <s v="TIFFANY - TTP"/>
    <x v="52"/>
    <s v="24001530"/>
    <s v="000000P105000000054"/>
    <n v="1"/>
    <n v="34300000"/>
    <x v="0"/>
  </r>
  <r>
    <d v="2021-05-23T00:00:00"/>
    <x v="0"/>
    <s v="TIFFANY - TTP"/>
    <x v="53"/>
    <s v="24001530"/>
    <s v="000000P105000000054"/>
    <n v="1"/>
    <n v="55060000"/>
    <x v="0"/>
  </r>
  <r>
    <d v="2021-05-23T00:00:00"/>
    <x v="0"/>
    <s v="TIFFANY - TTP"/>
    <x v="54"/>
    <s v="24001530"/>
    <s v="000000P105000000054"/>
    <n v="1"/>
    <n v="48742000"/>
    <x v="0"/>
  </r>
  <r>
    <d v="2021-05-23T00:00:00"/>
    <x v="3"/>
    <s v="TIFFANY - TTP"/>
    <x v="55"/>
    <s v="PV000303"/>
    <s v="000000P105000000055"/>
    <n v="1"/>
    <n v="11464000"/>
    <x v="0"/>
  </r>
  <r>
    <d v="2021-05-24T00:00:00"/>
    <x v="0"/>
    <s v="TIFFANY - TTP"/>
    <x v="56"/>
    <s v="60067686"/>
    <s v="000000P105000000056"/>
    <n v="1"/>
    <n v="126367000"/>
    <x v="0"/>
  </r>
  <r>
    <d v="2021-05-24T00:00:00"/>
    <x v="0"/>
    <s v="TIFFANY - TTP"/>
    <x v="57"/>
    <s v="60067686"/>
    <s v="000000P105000000056"/>
    <n v="1"/>
    <n v="31592000"/>
    <x v="0"/>
  </r>
  <r>
    <d v="2021-05-24T00:00:00"/>
    <x v="0"/>
    <s v="TIFFANY - TTP"/>
    <x v="58"/>
    <s v="60084745"/>
    <s v="000000P105000000057"/>
    <n v="1"/>
    <n v="19858000"/>
    <x v="0"/>
  </r>
  <r>
    <d v="2021-05-25T00:00:00"/>
    <x v="0"/>
    <s v="TIFFANY - TTP"/>
    <x v="59"/>
    <s v="39000072"/>
    <s v="000000P105000000058"/>
    <n v="1"/>
    <n v="109217000"/>
    <x v="0"/>
  </r>
  <r>
    <d v="2021-05-25T00:00:00"/>
    <x v="0"/>
    <s v="TIFFANY - TTP"/>
    <x v="60"/>
    <s v="39000072"/>
    <s v="000000P105000000058"/>
    <n v="1"/>
    <n v="43326000"/>
    <x v="0"/>
  </r>
  <r>
    <d v="2021-05-26T00:00:00"/>
    <x v="4"/>
    <s v="TIFFANY - TTP"/>
    <x v="61"/>
    <s v="99001191"/>
    <s v="000000P105000000059"/>
    <n v="1"/>
    <n v="26176000"/>
    <x v="0"/>
  </r>
  <r>
    <d v="2021-05-26T00:00:00"/>
    <x v="4"/>
    <s v="TIFFANY - TTP"/>
    <x v="62"/>
    <s v="99001191"/>
    <s v="000000P105000000059"/>
    <n v="1"/>
    <n v="68599000"/>
    <x v="0"/>
  </r>
  <r>
    <d v="2021-05-27T00:00:00"/>
    <x v="0"/>
    <s v="TIFFANY - TTP"/>
    <x v="63"/>
    <s v="60084749"/>
    <s v="000000P105000000060"/>
    <n v="1"/>
    <n v="617390000"/>
    <x v="0"/>
  </r>
  <r>
    <d v="2021-05-27T00:00:00"/>
    <x v="0"/>
    <s v="TIFFANY - TTP"/>
    <x v="40"/>
    <s v="13000241"/>
    <s v="000000P105000000061"/>
    <n v="1"/>
    <n v="8666000"/>
    <x v="0"/>
  </r>
  <r>
    <d v="2021-05-27T00:00:00"/>
    <x v="0"/>
    <s v="TIFFANY - TTP"/>
    <x v="64"/>
    <s v="13000241"/>
    <s v="000000P105000000061"/>
    <n v="1"/>
    <n v="145322000"/>
    <x v="0"/>
  </r>
  <r>
    <d v="2021-05-27T00:00:00"/>
    <x v="0"/>
    <s v="TIFFANY - TTP"/>
    <x v="65"/>
    <s v="09001886"/>
    <s v="000000P105000000062"/>
    <n v="1"/>
    <n v="48742000"/>
    <x v="0"/>
  </r>
  <r>
    <d v="2021-05-27T00:00:00"/>
    <x v="0"/>
    <s v="TIFFANY - TTP"/>
    <x v="66"/>
    <s v="09001886"/>
    <s v="000000P105000000063"/>
    <n v="1"/>
    <n v="285227000"/>
    <x v="0"/>
  </r>
  <r>
    <d v="2021-05-27T00:00:00"/>
    <x v="0"/>
    <s v="TIFFANY - TTP"/>
    <x v="67"/>
    <s v="09001886"/>
    <s v="000000P105000000064"/>
    <n v="1"/>
    <n v="64989000"/>
    <x v="0"/>
  </r>
  <r>
    <d v="2021-05-28T00:00:00"/>
    <x v="0"/>
    <s v="TIFFANY - TTP"/>
    <x v="68"/>
    <s v="13000482"/>
    <s v="000000P105000000066"/>
    <n v="1"/>
    <n v="64989000"/>
    <x v="0"/>
  </r>
  <r>
    <d v="2021-05-28T00:00:00"/>
    <x v="0"/>
    <s v="TIFFANY - TTP"/>
    <x v="69"/>
    <s v="05000604"/>
    <s v="000000P105000000067"/>
    <n v="1"/>
    <n v="328553000"/>
    <x v="0"/>
  </r>
  <r>
    <d v="2021-05-28T00:00:00"/>
    <x v="0"/>
    <s v="TIFFANY - TTP"/>
    <x v="70"/>
    <s v="60084750"/>
    <s v="000000P105000000068"/>
    <n v="1"/>
    <n v="19858000"/>
    <x v="0"/>
  </r>
  <r>
    <d v="2021-05-28T00:00:00"/>
    <x v="0"/>
    <s v="TIFFANY - TTP"/>
    <x v="40"/>
    <s v="60084750"/>
    <s v="000000P105000000068"/>
    <n v="1"/>
    <n v="8666000"/>
    <x v="0"/>
  </r>
  <r>
    <d v="2021-05-28T00:00:00"/>
    <x v="0"/>
    <s v="TIFFANY - TTP"/>
    <x v="71"/>
    <s v="60084750"/>
    <s v="000000P105000000068"/>
    <n v="1"/>
    <n v="24371000"/>
    <x v="0"/>
  </r>
  <r>
    <d v="2021-05-29T00:00:00"/>
    <x v="1"/>
    <s v="TIFFANY - TTP"/>
    <x v="72"/>
    <s v="60081983"/>
    <s v="000000P105000000069"/>
    <n v="1"/>
    <n v="26176000"/>
    <x v="0"/>
  </r>
  <r>
    <d v="2021-05-29T00:00:00"/>
    <x v="0"/>
    <s v="TIFFANY - TTP"/>
    <x v="73"/>
    <s v="60079623"/>
    <s v="000000P105000000070"/>
    <n v="1"/>
    <n v="60476000"/>
    <x v="0"/>
  </r>
  <r>
    <d v="2021-05-29T00:00:00"/>
    <x v="0"/>
    <s v="TIFFANY - TTP"/>
    <x v="74"/>
    <s v="60079623"/>
    <s v="000000P105000000070"/>
    <n v="1"/>
    <n v="46034000"/>
    <x v="0"/>
  </r>
  <r>
    <d v="2021-05-29T00:00:00"/>
    <x v="0"/>
    <s v="TIFFANY - TTP"/>
    <x v="75"/>
    <s v="60079623"/>
    <s v="000000P105000000070"/>
    <n v="1"/>
    <n v="79431000"/>
    <x v="0"/>
  </r>
  <r>
    <d v="2021-05-30T00:00:00"/>
    <x v="1"/>
    <s v="TIFFANY - TTP"/>
    <x v="76"/>
    <s v="60084752"/>
    <s v="000000P105000000071"/>
    <n v="1"/>
    <n v="6680000"/>
    <x v="0"/>
  </r>
  <r>
    <d v="2021-05-30T00:00:00"/>
    <x v="1"/>
    <s v="TIFFANY - TTP"/>
    <x v="77"/>
    <s v="60084753"/>
    <s v="000000P105000000072"/>
    <n v="1"/>
    <n v="7402000"/>
    <x v="0"/>
  </r>
  <r>
    <d v="2021-05-30T00:00:00"/>
    <x v="1"/>
    <s v="TIFFANY - TTP"/>
    <x v="78"/>
    <s v="60084753"/>
    <s v="000000P105000000072"/>
    <n v="1"/>
    <n v="7402000"/>
    <x v="0"/>
  </r>
  <r>
    <d v="2021-05-30T00:00:00"/>
    <x v="1"/>
    <s v="TIFFANY - TTP"/>
    <x v="9"/>
    <s v="60084754"/>
    <s v="000000P105000000073"/>
    <n v="1"/>
    <n v="6229000"/>
    <x v="0"/>
  </r>
  <r>
    <d v="2021-05-30T00:00:00"/>
    <x v="1"/>
    <s v="TIFFANY - TTP"/>
    <x v="79"/>
    <s v="20000751"/>
    <s v="000000P105000000074"/>
    <n v="1"/>
    <n v="55060000"/>
    <x v="0"/>
  </r>
  <r>
    <d v="2021-06-01T00:00:00"/>
    <x v="5"/>
    <s v="TIFFANY - TTP"/>
    <x v="80"/>
    <s v="60084755"/>
    <s v="000000P105000000075"/>
    <n v="1"/>
    <n v="37008000"/>
    <x v="1"/>
  </r>
  <r>
    <d v="2021-06-01T00:00:00"/>
    <x v="5"/>
    <s v="TIFFANY - TTP"/>
    <x v="81"/>
    <s v="60084755"/>
    <s v="000000P105000000075"/>
    <n v="1"/>
    <n v="8666000"/>
    <x v="1"/>
  </r>
  <r>
    <d v="2021-06-02T00:00:00"/>
    <x v="0"/>
    <s v="TIFFANY - TTP"/>
    <x v="82"/>
    <s v="60081814"/>
    <s v="000000P105000000076"/>
    <n v="1"/>
    <n v="92067000"/>
    <x v="1"/>
  </r>
  <r>
    <d v="2021-06-05T00:00:00"/>
    <x v="1"/>
    <s v="TIFFANY - TTP"/>
    <x v="83"/>
    <s v="60084756"/>
    <s v="000000P105000000077"/>
    <n v="1"/>
    <n v="33397000"/>
    <x v="1"/>
  </r>
  <r>
    <d v="2021-06-05T00:00:00"/>
    <x v="1"/>
    <s v="TIFFANY - TTP"/>
    <x v="84"/>
    <s v="60084756"/>
    <s v="000000P105000000077"/>
    <n v="1"/>
    <n v="14081000"/>
    <x v="1"/>
  </r>
  <r>
    <d v="2021-06-06T00:00:00"/>
    <x v="0"/>
    <s v="TIFFANY - TTP"/>
    <x v="85"/>
    <s v="09001516"/>
    <s v="000000P105000000078"/>
    <n v="1"/>
    <n v="14713000"/>
    <x v="1"/>
  </r>
  <r>
    <d v="2021-06-06T00:00:00"/>
    <x v="1"/>
    <s v="TIFFANY - TTP"/>
    <x v="86"/>
    <s v="60084757"/>
    <s v="000000P105000000079"/>
    <n v="1"/>
    <n v="5416000"/>
    <x v="1"/>
  </r>
  <r>
    <d v="2021-06-06T00:00:00"/>
    <x v="1"/>
    <s v="TIFFANY - TTP"/>
    <x v="87"/>
    <s v="60084758"/>
    <s v="000000P105000000080"/>
    <n v="1"/>
    <n v="33397000"/>
    <x v="1"/>
  </r>
  <r>
    <d v="2021-06-06T00:00:00"/>
    <x v="1"/>
    <s v="TIFFANY - TTP"/>
    <x v="81"/>
    <s v="60084758"/>
    <s v="000000P105000000080"/>
    <n v="1"/>
    <n v="8666000"/>
    <x v="1"/>
  </r>
  <r>
    <d v="2021-06-09T00:00:00"/>
    <x v="0"/>
    <s v="TIFFANY - TTP"/>
    <x v="88"/>
    <s v="99000328"/>
    <s v="000000P105000000081"/>
    <n v="1"/>
    <n v="22566000"/>
    <x v="1"/>
  </r>
  <r>
    <d v="2021-06-09T00:00:00"/>
    <x v="0"/>
    <s v="TIFFANY - TTP"/>
    <x v="89"/>
    <s v="09001516"/>
    <s v="000000P105000000082"/>
    <n v="1"/>
    <n v="11554000"/>
    <x v="1"/>
  </r>
  <r>
    <d v="2021-06-09T00:00:00"/>
    <x v="1"/>
    <s v="TIFFANY - TTP"/>
    <x v="90"/>
    <s v="60084759"/>
    <s v="000000P105000000083"/>
    <n v="1"/>
    <n v="6229000"/>
    <x v="1"/>
  </r>
  <r>
    <d v="2021-06-09T00:00:00"/>
    <x v="1"/>
    <s v="TIFFANY - TTP"/>
    <x v="90"/>
    <s v="60084760"/>
    <s v="000000P105000000084"/>
    <n v="1"/>
    <n v="6229000"/>
    <x v="1"/>
  </r>
  <r>
    <d v="2021-06-11T00:00:00"/>
    <x v="1"/>
    <s v="TIFFANY - TTP"/>
    <x v="91"/>
    <s v="60084761"/>
    <s v="000000P105000000085"/>
    <n v="1"/>
    <n v="65892000"/>
    <x v="1"/>
  </r>
  <r>
    <d v="2021-06-11T00:00:00"/>
    <x v="1"/>
    <s v="TIFFANY - TTP"/>
    <x v="90"/>
    <s v="60084762"/>
    <s v="000000P105000000086"/>
    <n v="1"/>
    <n v="6229000"/>
    <x v="1"/>
  </r>
  <r>
    <d v="2021-06-12T00:00:00"/>
    <x v="1"/>
    <s v="TIFFANY - TTP"/>
    <x v="7"/>
    <s v="60084763"/>
    <s v="000000P105000000087"/>
    <n v="1"/>
    <n v="6229000"/>
    <x v="1"/>
  </r>
  <r>
    <d v="2021-06-12T00:00:00"/>
    <x v="0"/>
    <s v="TIFFANY - TTP"/>
    <x v="92"/>
    <s v="60081037"/>
    <s v="000000P105000000089"/>
    <n v="1"/>
    <n v="184134000"/>
    <x v="1"/>
  </r>
  <r>
    <d v="2021-06-12T00:00:00"/>
    <x v="1"/>
    <s v="TIFFANY - TTP"/>
    <x v="86"/>
    <s v="60084764"/>
    <s v="000000P105000000090"/>
    <n v="1"/>
    <n v="5416000"/>
    <x v="1"/>
  </r>
  <r>
    <d v="2021-06-13T00:00:00"/>
    <x v="1"/>
    <s v="TIFFANY - TTP"/>
    <x v="31"/>
    <s v="60084765"/>
    <s v="000000P105000000091"/>
    <n v="1"/>
    <n v="6229000"/>
    <x v="1"/>
  </r>
  <r>
    <d v="2021-06-13T00:00:00"/>
    <x v="1"/>
    <s v="TIFFANY - TTP"/>
    <x v="72"/>
    <s v="60084766"/>
    <s v="000000P105000000092"/>
    <n v="1"/>
    <n v="26176000"/>
    <x v="1"/>
  </r>
  <r>
    <d v="2021-06-15T00:00:00"/>
    <x v="1"/>
    <s v="TIFFANY - TTP"/>
    <x v="93"/>
    <s v="60084767"/>
    <s v="000000P105000000093"/>
    <n v="1"/>
    <n v="60476000"/>
    <x v="1"/>
  </r>
  <r>
    <d v="2021-06-17T00:00:00"/>
    <x v="0"/>
    <s v="TIFFANY - TTP"/>
    <x v="10"/>
    <s v="22000014"/>
    <s v="000000P105000000094"/>
    <n v="1"/>
    <n v="6229000"/>
    <x v="1"/>
  </r>
  <r>
    <d v="2021-06-17T00:00:00"/>
    <x v="0"/>
    <s v="TIFFANY - TTP"/>
    <x v="84"/>
    <s v="60084768"/>
    <s v="000000P105000000095"/>
    <n v="1"/>
    <n v="14803000"/>
    <x v="1"/>
  </r>
  <r>
    <d v="2021-06-17T00:00:00"/>
    <x v="0"/>
    <s v="TIFFANY - TTP"/>
    <x v="94"/>
    <s v="60084768"/>
    <s v="000000P105000000095"/>
    <n v="1"/>
    <n v="150738000"/>
    <x v="1"/>
  </r>
  <r>
    <d v="2021-06-18T00:00:00"/>
    <x v="1"/>
    <s v="TIFFANY - TTP"/>
    <x v="95"/>
    <s v="60084769"/>
    <s v="000000P105000000096"/>
    <n v="1"/>
    <n v="68599000"/>
    <x v="1"/>
  </r>
  <r>
    <d v="2021-06-18T00:00:00"/>
    <x v="1"/>
    <s v="TIFFANY - TTP"/>
    <x v="16"/>
    <s v="60084769"/>
    <s v="000000P105000000096"/>
    <n v="1"/>
    <n v="9388000"/>
    <x v="1"/>
  </r>
  <r>
    <d v="2021-06-18T00:00:00"/>
    <x v="0"/>
    <s v="TIFFANY - TTP"/>
    <x v="96"/>
    <s v="60065619"/>
    <s v="000000P105000000097"/>
    <n v="1"/>
    <n v="55963000"/>
    <x v="1"/>
  </r>
  <r>
    <d v="2021-06-18T00:00:00"/>
    <x v="0"/>
    <s v="TIFFANY - TTP"/>
    <x v="97"/>
    <s v="60065619"/>
    <s v="000000P105000000097"/>
    <n v="1"/>
    <n v="55963000"/>
    <x v="1"/>
  </r>
  <r>
    <d v="2021-06-19T00:00:00"/>
    <x v="2"/>
    <s v="TIFFANY - TTP"/>
    <x v="98"/>
    <s v="20000178"/>
    <s v="000000P105000000098"/>
    <n v="1"/>
    <n v="6229000"/>
    <x v="1"/>
  </r>
  <r>
    <d v="2021-06-19T00:00:00"/>
    <x v="2"/>
    <s v="TIFFANY - TTP"/>
    <x v="99"/>
    <s v="59000063"/>
    <s v="000000P105000000099"/>
    <n v="1"/>
    <n v="60476000"/>
    <x v="1"/>
  </r>
  <r>
    <d v="2021-06-20T00:00:00"/>
    <x v="1"/>
    <s v="TIFFANY - TTP"/>
    <x v="100"/>
    <s v="60084770"/>
    <s v="000000P105000000100"/>
    <n v="1"/>
    <n v="11464000"/>
    <x v="1"/>
  </r>
  <r>
    <d v="2021-06-20T00:00:00"/>
    <x v="0"/>
    <s v="TIFFANY - TTP"/>
    <x v="2"/>
    <s v="60084771"/>
    <s v="000000P105000000101"/>
    <n v="1"/>
    <n v="6229000"/>
    <x v="1"/>
  </r>
  <r>
    <d v="2021-06-20T00:00:00"/>
    <x v="2"/>
    <s v="TIFFANY - TTP"/>
    <x v="101"/>
    <s v="60084772"/>
    <s v="000000P105000000102"/>
    <n v="1"/>
    <n v="86652000"/>
    <x v="1"/>
  </r>
  <r>
    <d v="2021-06-20T00:00:00"/>
    <x v="2"/>
    <s v="TIFFANY - TTP"/>
    <x v="102"/>
    <s v="60084772"/>
    <s v="000000P105000000102"/>
    <n v="1"/>
    <n v="43326000"/>
    <x v="1"/>
  </r>
  <r>
    <d v="2021-06-21T00:00:00"/>
    <x v="1"/>
    <s v="TIFFANY - TTP"/>
    <x v="103"/>
    <s v="60085056"/>
    <s v="000000P105000000103"/>
    <n v="1"/>
    <n v="6229000"/>
    <x v="1"/>
  </r>
  <r>
    <d v="2021-06-22T00:00:00"/>
    <x v="1"/>
    <s v="TIFFANY - TTP"/>
    <x v="90"/>
    <s v="60085057"/>
    <s v="000000P105000000104"/>
    <n v="1"/>
    <n v="6229000"/>
    <x v="1"/>
  </r>
  <r>
    <d v="2021-06-22T00:00:00"/>
    <x v="1"/>
    <s v="TIFFANY - TTP"/>
    <x v="38"/>
    <s v="60085057"/>
    <s v="000000P105000000104"/>
    <n v="1"/>
    <n v="5416000"/>
    <x v="1"/>
  </r>
  <r>
    <d v="2021-06-22T00:00:00"/>
    <x v="0"/>
    <s v="TIFFANY - TTP"/>
    <x v="104"/>
    <s v="05001498"/>
    <s v="000000P105000000105"/>
    <n v="1"/>
    <n v="72210000"/>
    <x v="1"/>
  </r>
  <r>
    <d v="2021-06-22T00:00:00"/>
    <x v="0"/>
    <s v="TIFFANY - TTP"/>
    <x v="6"/>
    <s v="05001498"/>
    <s v="000000P105000000106"/>
    <n v="1"/>
    <n v="114633000"/>
    <x v="1"/>
  </r>
  <r>
    <d v="2021-06-22T00:00:00"/>
    <x v="5"/>
    <s v="TIFFANY - TTP"/>
    <x v="105"/>
    <s v="60076597"/>
    <s v="000000P105000000107"/>
    <n v="1"/>
    <n v="10832000"/>
    <x v="1"/>
  </r>
  <r>
    <d v="2021-06-23T00:00:00"/>
    <x v="0"/>
    <s v="TIFFANY - TTP"/>
    <x v="106"/>
    <s v="60085058"/>
    <s v="000000P105000000108"/>
    <n v="1"/>
    <n v="80333000"/>
    <x v="1"/>
  </r>
  <r>
    <d v="2021-06-23T00:00:00"/>
    <x v="0"/>
    <s v="TIFFANY - TTP"/>
    <x v="107"/>
    <s v="60085058"/>
    <s v="000000P105000000108"/>
    <n v="1"/>
    <n v="200381000"/>
    <x v="1"/>
  </r>
  <r>
    <d v="2021-06-25T00:00:00"/>
    <x v="1"/>
    <s v="TIFFANY - TTP"/>
    <x v="108"/>
    <s v="60085059"/>
    <s v="000000P105000000109"/>
    <n v="1"/>
    <n v="40618000"/>
    <x v="1"/>
  </r>
  <r>
    <d v="2021-06-25T00:00:00"/>
    <x v="0"/>
    <s v="TIFFANY - TTP"/>
    <x v="109"/>
    <s v="20002141"/>
    <s v="000000P105000000110"/>
    <n v="1"/>
    <n v="92067000"/>
    <x v="1"/>
  </r>
  <r>
    <d v="2021-06-25T00:00:00"/>
    <x v="0"/>
    <s v="TIFFANY - TTP"/>
    <x v="81"/>
    <s v="20002141"/>
    <s v="000000P105000000110"/>
    <n v="1"/>
    <n v="9388000"/>
    <x v="1"/>
  </r>
  <r>
    <d v="2021-06-25T00:00:00"/>
    <x v="1"/>
    <s v="TIFFANY - TTP"/>
    <x v="90"/>
    <s v="60085060"/>
    <s v="000000P105000000111"/>
    <n v="1"/>
    <n v="6229000"/>
    <x v="1"/>
  </r>
  <r>
    <d v="2021-06-26T00:00:00"/>
    <x v="1"/>
    <s v="TIFFANY - TTP"/>
    <x v="110"/>
    <s v="60085061"/>
    <s v="000000P105000000112"/>
    <n v="1"/>
    <n v="11554000"/>
    <x v="1"/>
  </r>
  <r>
    <d v="2021-06-26T00:00:00"/>
    <x v="1"/>
    <s v="TIFFANY - TTP"/>
    <x v="111"/>
    <s v="60085062"/>
    <s v="000000P105000000113"/>
    <n v="1"/>
    <n v="5416000"/>
    <x v="1"/>
  </r>
  <r>
    <d v="2021-06-26T00:00:00"/>
    <x v="0"/>
    <s v="TIFFANY - TTP"/>
    <x v="112"/>
    <s v="60085063"/>
    <s v="000000P105000000114"/>
    <n v="1"/>
    <n v="86652000"/>
    <x v="1"/>
  </r>
  <r>
    <d v="2021-06-26T00:00:00"/>
    <x v="0"/>
    <s v="TIFFANY - TTP"/>
    <x v="113"/>
    <s v="60085063"/>
    <s v="000000P105000000114"/>
    <n v="1"/>
    <n v="86652000"/>
    <x v="1"/>
  </r>
  <r>
    <d v="2021-06-26T00:00:00"/>
    <x v="1"/>
    <s v="TIFFANY - TTP"/>
    <x v="114"/>
    <s v="60085064"/>
    <s v="000000P105000000115"/>
    <n v="1"/>
    <n v="26176000"/>
    <x v="1"/>
  </r>
  <r>
    <d v="2021-06-27T00:00:00"/>
    <x v="1"/>
    <s v="TIFFANY - TTP"/>
    <x v="115"/>
    <s v="60085065"/>
    <s v="000000P105000000116"/>
    <n v="1"/>
    <n v="8485000"/>
    <x v="1"/>
  </r>
  <r>
    <d v="2021-06-27T00:00:00"/>
    <x v="1"/>
    <s v="TIFFANY - TTP"/>
    <x v="86"/>
    <s v="60085066"/>
    <s v="000000P105000000117"/>
    <n v="1"/>
    <n v="5416000"/>
    <x v="1"/>
  </r>
  <r>
    <d v="2021-06-27T00:00:00"/>
    <x v="1"/>
    <s v="TIFFANY - TTP"/>
    <x v="2"/>
    <s v="60085066"/>
    <s v="000000P105000000117"/>
    <n v="1"/>
    <n v="6229000"/>
    <x v="1"/>
  </r>
  <r>
    <d v="2021-06-27T00:00:00"/>
    <x v="1"/>
    <s v="TIFFANY - TTP"/>
    <x v="38"/>
    <s v="60085066"/>
    <s v="000000P105000000117"/>
    <n v="1"/>
    <n v="5416000"/>
    <x v="1"/>
  </r>
  <r>
    <d v="2021-06-27T00:00:00"/>
    <x v="1"/>
    <s v="TIFFANY - TTP"/>
    <x v="98"/>
    <s v="60085067"/>
    <s v="000000P105000000118"/>
    <n v="1"/>
    <n v="6229000"/>
    <x v="1"/>
  </r>
  <r>
    <d v="2021-06-28T00:00:00"/>
    <x v="0"/>
    <s v="TIFFANY - TTP"/>
    <x v="116"/>
    <s v="05002597"/>
    <s v="000000P105000000119"/>
    <n v="1"/>
    <n v="15074000"/>
    <x v="1"/>
  </r>
  <r>
    <d v="2021-06-28T00:00:00"/>
    <x v="0"/>
    <s v="TIFFANY - TTP"/>
    <x v="117"/>
    <s v="05002597"/>
    <s v="000000P105000000119"/>
    <n v="1"/>
    <n v="81236000"/>
    <x v="1"/>
  </r>
  <r>
    <d v="2021-06-28T00:00:00"/>
    <x v="0"/>
    <s v="TIFFANY - TTP"/>
    <x v="118"/>
    <s v="05002597"/>
    <s v="000000P105000000120"/>
    <n v="1"/>
    <n v="43326000"/>
    <x v="1"/>
  </r>
  <r>
    <d v="2021-06-28T00:00:00"/>
    <x v="0"/>
    <s v="TIFFANY - TTP"/>
    <x v="17"/>
    <s v="05002597"/>
    <s v="000000P105000000121"/>
    <n v="1"/>
    <n v="6680000"/>
    <x v="1"/>
  </r>
  <r>
    <d v="2021-06-28T00:00:00"/>
    <x v="0"/>
    <s v="TIFFANY - TTP"/>
    <x v="49"/>
    <s v="05002597"/>
    <s v="000000P105000000121"/>
    <n v="1"/>
    <n v="8124000"/>
    <x v="1"/>
  </r>
  <r>
    <d v="2021-06-28T00:00:00"/>
    <x v="1"/>
    <s v="TIFFANY - TTP"/>
    <x v="119"/>
    <s v="60085068"/>
    <s v="000000P105000000122"/>
    <n v="1"/>
    <n v="5958000"/>
    <x v="1"/>
  </r>
  <r>
    <d v="2021-06-29T00:00:00"/>
    <x v="0"/>
    <s v="TIFFANY - TTP"/>
    <x v="120"/>
    <s v="08001224"/>
    <s v="000000P105000000123"/>
    <n v="1"/>
    <n v="310501000"/>
    <x v="1"/>
  </r>
  <r>
    <d v="2021-06-29T00:00:00"/>
    <x v="0"/>
    <s v="TIFFANY - TTP"/>
    <x v="121"/>
    <s v="08001224"/>
    <s v="000000P105000000123"/>
    <n v="1"/>
    <n v="292448000"/>
    <x v="1"/>
  </r>
  <r>
    <d v="2021-06-29T00:00:00"/>
    <x v="2"/>
    <s v="TIFFANY - TTP"/>
    <x v="122"/>
    <s v="60080377"/>
    <s v="000000P105000000124"/>
    <n v="1"/>
    <n v="28884000"/>
    <x v="1"/>
  </r>
  <r>
    <d v="2021-06-29T00:00:00"/>
    <x v="1"/>
    <s v="TIFFANY - TTP"/>
    <x v="103"/>
    <s v="60085069"/>
    <s v="000000P105000000125"/>
    <n v="1"/>
    <n v="6229000"/>
    <x v="1"/>
  </r>
  <r>
    <d v="2021-06-29T00:00:00"/>
    <x v="1"/>
    <s v="TIFFANY - TTP"/>
    <x v="98"/>
    <s v="60085069"/>
    <s v="000000P105000000125"/>
    <n v="1"/>
    <n v="6229000"/>
    <x v="1"/>
  </r>
  <r>
    <d v="2021-06-29T00:00:00"/>
    <x v="3"/>
    <s v="TIFFANY - TTP"/>
    <x v="23"/>
    <s v="PV000171"/>
    <s v="000000P105000000126"/>
    <n v="1"/>
    <n v="5416000"/>
    <x v="1"/>
  </r>
  <r>
    <d v="2021-06-30T00:00:00"/>
    <x v="1"/>
    <s v="TIFFANY - TTP"/>
    <x v="123"/>
    <s v="60085071"/>
    <s v="000000P105000000130"/>
    <n v="1"/>
    <n v="26176000"/>
    <x v="1"/>
  </r>
  <r>
    <d v="2021-07-01T00:00:00"/>
    <x v="0"/>
    <s v="TIFFANY - TTP"/>
    <x v="124"/>
    <s v="60067418"/>
    <s v="000000P105000000132"/>
    <n v="1"/>
    <n v="209408000"/>
    <x v="2"/>
  </r>
  <r>
    <d v="2021-07-01T00:00:00"/>
    <x v="0"/>
    <s v="TIFFANY - TTP"/>
    <x v="125"/>
    <s v="60085072"/>
    <s v="000000P105000000133"/>
    <n v="1"/>
    <n v="68599000"/>
    <x v="2"/>
  </r>
  <r>
    <d v="2021-07-01T00:00:00"/>
    <x v="0"/>
    <s v="TIFFANY - TTP"/>
    <x v="126"/>
    <s v="60085072"/>
    <s v="000000P105000000133"/>
    <n v="1"/>
    <n v="36105000"/>
    <x v="2"/>
  </r>
  <r>
    <d v="2021-07-01T00:00:00"/>
    <x v="0"/>
    <s v="TIFFANY - TTP"/>
    <x v="127"/>
    <s v="60079850"/>
    <s v="000000P105000000134"/>
    <n v="1"/>
    <n v="15526000"/>
    <x v="2"/>
  </r>
  <r>
    <d v="2021-07-01T00:00:00"/>
    <x v="0"/>
    <s v="TIFFANY - TTP"/>
    <x v="128"/>
    <s v="60079850"/>
    <s v="000000P105000000134"/>
    <n v="1"/>
    <n v="7402000"/>
    <x v="2"/>
  </r>
  <r>
    <d v="2021-07-01T00:00:00"/>
    <x v="0"/>
    <s v="TIFFANY - TTP"/>
    <x v="76"/>
    <s v="60079850"/>
    <s v="000000P105000000134"/>
    <n v="1"/>
    <n v="7402000"/>
    <x v="2"/>
  </r>
  <r>
    <d v="2021-07-03T00:00:00"/>
    <x v="1"/>
    <s v="TIFFANY - TTP"/>
    <x v="129"/>
    <s v="60085073"/>
    <s v="000000P105000000135"/>
    <n v="1"/>
    <n v="6951000"/>
    <x v="2"/>
  </r>
  <r>
    <d v="2021-07-03T00:00:00"/>
    <x v="2"/>
    <s v="TIFFANY - TTP"/>
    <x v="57"/>
    <s v="27000390"/>
    <s v="000000P105000000136"/>
    <n v="1"/>
    <n v="31592000"/>
    <x v="2"/>
  </r>
  <r>
    <d v="2021-07-03T00:00:00"/>
    <x v="2"/>
    <s v="TIFFANY - TTP"/>
    <x v="130"/>
    <s v="60085074"/>
    <s v="000000P105000000137"/>
    <n v="1"/>
    <n v="86652000"/>
    <x v="2"/>
  </r>
  <r>
    <d v="2021-07-03T00:00:00"/>
    <x v="2"/>
    <s v="TIFFANY - TTP"/>
    <x v="131"/>
    <s v="60085074"/>
    <s v="000000P105000000137"/>
    <n v="1"/>
    <n v="43326000"/>
    <x v="2"/>
  </r>
  <r>
    <d v="2021-07-03T00:00:00"/>
    <x v="1"/>
    <s v="TIFFANY - TTP"/>
    <x v="132"/>
    <s v="60085075"/>
    <s v="000000P105000000138"/>
    <n v="1"/>
    <n v="6229000"/>
    <x v="2"/>
  </r>
  <r>
    <d v="2021-07-03T00:00:00"/>
    <x v="0"/>
    <s v="TIFFANY - TTP"/>
    <x v="133"/>
    <s v="60064032"/>
    <s v="000000P105000000139"/>
    <n v="1"/>
    <n v="685989000"/>
    <x v="2"/>
  </r>
  <r>
    <d v="2021-07-03T00:00:00"/>
    <x v="1"/>
    <s v="TIFFANY - TTP"/>
    <x v="134"/>
    <s v="60085076"/>
    <s v="000000P105000000140"/>
    <n v="1"/>
    <n v="56865000"/>
    <x v="2"/>
  </r>
  <r>
    <d v="2021-07-04T00:00:00"/>
    <x v="1"/>
    <s v="TIFFANY - TTP"/>
    <x v="103"/>
    <s v="60085077"/>
    <s v="000000P105000000141"/>
    <n v="1"/>
    <n v="6229000"/>
    <x v="2"/>
  </r>
  <r>
    <d v="2021-07-04T00:00:00"/>
    <x v="0"/>
    <s v="TIFFANY - TTP"/>
    <x v="135"/>
    <s v="20001130"/>
    <s v="000000P105000000142"/>
    <n v="1"/>
    <n v="43326000"/>
    <x v="2"/>
  </r>
  <r>
    <d v="2021-07-04T00:00:00"/>
    <x v="0"/>
    <s v="TIFFANY - TTP"/>
    <x v="136"/>
    <s v="20001130"/>
    <s v="000000P105000000142"/>
    <n v="1"/>
    <n v="7402000"/>
    <x v="2"/>
  </r>
  <r>
    <d v="2021-07-04T00:00:00"/>
    <x v="0"/>
    <s v="TIFFANY - TTP"/>
    <x v="137"/>
    <s v="20001130"/>
    <s v="000000P105000000142"/>
    <n v="1"/>
    <n v="62281000"/>
    <x v="2"/>
  </r>
  <r>
    <d v="2021-07-05T00:00:00"/>
    <x v="0"/>
    <s v="TIFFANY - TTP"/>
    <x v="138"/>
    <s v="60079969"/>
    <s v="000000P105000000143"/>
    <n v="1"/>
    <n v="17240000"/>
    <x v="2"/>
  </r>
  <r>
    <d v="2021-07-05T00:00:00"/>
    <x v="0"/>
    <s v="TIFFANY - TTP"/>
    <x v="139"/>
    <s v="60079969"/>
    <s v="000000P105000000144"/>
    <n v="1"/>
    <n v="65892000"/>
    <x v="2"/>
  </r>
  <r>
    <d v="2021-07-05T00:00:00"/>
    <x v="0"/>
    <s v="TIFFANY - TTP"/>
    <x v="140"/>
    <s v="60079969"/>
    <s v="000000P105000000144"/>
    <n v="1"/>
    <n v="51450000"/>
    <x v="2"/>
  </r>
  <r>
    <d v="2021-07-07T00:00:00"/>
    <x v="0"/>
    <s v="TIFFANY - TTP"/>
    <x v="141"/>
    <s v="60083449"/>
    <s v="000000P105000000145"/>
    <n v="1"/>
    <n v="223849000"/>
    <x v="2"/>
  </r>
  <r>
    <d v="2021-07-08T00:00:00"/>
    <x v="0"/>
    <s v="TIFFANY - TTP"/>
    <x v="142"/>
    <s v="24002905"/>
    <s v="000000P105000000146"/>
    <n v="1"/>
    <n v="162472000"/>
    <x v="2"/>
  </r>
  <r>
    <d v="2021-07-08T00:00:00"/>
    <x v="1"/>
    <s v="TIFFANY - TTP"/>
    <x v="0"/>
    <s v="60085078"/>
    <s v="000000P105000000147"/>
    <n v="1"/>
    <n v="5416000"/>
    <x v="2"/>
  </r>
  <r>
    <d v="2021-07-09T00:00:00"/>
    <x v="1"/>
    <s v="TIFFANY - TTP"/>
    <x v="143"/>
    <s v="60085079"/>
    <s v="000000P105000000148"/>
    <n v="1"/>
    <n v="79431000"/>
    <x v="2"/>
  </r>
  <r>
    <d v="2021-07-09T00:00:00"/>
    <x v="2"/>
    <s v="TIFFANY - TTP"/>
    <x v="144"/>
    <s v="59000063"/>
    <s v="000000P105000000149"/>
    <n v="1"/>
    <n v="13179000"/>
    <x v="2"/>
  </r>
  <r>
    <d v="2021-07-10T00:00:00"/>
    <x v="1"/>
    <s v="TIFFANY - TTP"/>
    <x v="103"/>
    <s v="60085080"/>
    <s v="000000P105000000151"/>
    <n v="1"/>
    <n v="6229000"/>
    <x v="2"/>
  </r>
  <r>
    <d v="2021-07-10T00:00:00"/>
    <x v="0"/>
    <s v="TIFFANY - TTP"/>
    <x v="145"/>
    <s v="60085081"/>
    <s v="000000P105000000152"/>
    <n v="1"/>
    <n v="55060000"/>
    <x v="2"/>
  </r>
  <r>
    <d v="2021-07-10T00:00:00"/>
    <x v="0"/>
    <s v="TIFFANY - TTP"/>
    <x v="115"/>
    <s v="25000030"/>
    <s v="000000P105000000153"/>
    <n v="1"/>
    <n v="8485000"/>
    <x v="2"/>
  </r>
  <r>
    <d v="2021-07-10T00:00:00"/>
    <x v="1"/>
    <s v="TIFFANY - TTP"/>
    <x v="146"/>
    <s v="60085082"/>
    <s v="000000P105000000155"/>
    <n v="1"/>
    <n v="26176000"/>
    <x v="2"/>
  </r>
  <r>
    <d v="2021-07-11T00:00:00"/>
    <x v="2"/>
    <s v="TIFFANY - TTP"/>
    <x v="147"/>
    <s v="60065272"/>
    <s v="000000P105000000156"/>
    <n v="1"/>
    <n v="68599000"/>
    <x v="2"/>
  </r>
  <r>
    <d v="2021-07-11T00:00:00"/>
    <x v="2"/>
    <s v="TIFFANY - TTP"/>
    <x v="148"/>
    <s v="60065272"/>
    <s v="000000P105000000156"/>
    <n v="1"/>
    <n v="56865000"/>
    <x v="2"/>
  </r>
  <r>
    <d v="2021-07-11T00:00:00"/>
    <x v="2"/>
    <s v="TIFFANY - TTP"/>
    <x v="149"/>
    <s v="60065272"/>
    <s v="000000P105000000156"/>
    <n v="1"/>
    <n v="9388000"/>
    <x v="2"/>
  </r>
  <r>
    <d v="2021-07-11T00:00:00"/>
    <x v="2"/>
    <s v="TIFFANY - TTP"/>
    <x v="86"/>
    <s v="60065272"/>
    <s v="000000P105000000156"/>
    <n v="1"/>
    <n v="5416000"/>
    <x v="2"/>
  </r>
  <r>
    <d v="2021-07-11T00:00:00"/>
    <x v="1"/>
    <s v="TIFFANY - TTP"/>
    <x v="103"/>
    <s v="60085083"/>
    <s v="000000P105000000157"/>
    <n v="1"/>
    <n v="6229000"/>
    <x v="2"/>
  </r>
  <r>
    <d v="2021-07-11T00:00:00"/>
    <x v="5"/>
    <s v="TIFFANY - TTP"/>
    <x v="150"/>
    <s v="60077793"/>
    <s v="000000P105000000158"/>
    <n v="1"/>
    <n v="19858000"/>
    <x v="2"/>
  </r>
  <r>
    <d v="2021-07-11T00:00:00"/>
    <x v="1"/>
    <s v="TIFFANY - TTP"/>
    <x v="151"/>
    <s v="60085084"/>
    <s v="000000P105000000159"/>
    <n v="1"/>
    <n v="28884000"/>
    <x v="2"/>
  </r>
  <r>
    <d v="2021-07-11T00:00:00"/>
    <x v="1"/>
    <s v="TIFFANY - TTP"/>
    <x v="152"/>
    <s v="60085085"/>
    <s v="000000P105000000160"/>
    <n v="1"/>
    <n v="10832000"/>
    <x v="2"/>
  </r>
  <r>
    <d v="2021-07-11T00:00:00"/>
    <x v="2"/>
    <s v="TIFFANY - TTP"/>
    <x v="153"/>
    <s v="60073377"/>
    <s v="000000P105000000161"/>
    <n v="1"/>
    <n v="7402000"/>
    <x v="2"/>
  </r>
  <r>
    <d v="2021-07-11T00:00:00"/>
    <x v="2"/>
    <s v="TIFFANY - TTP"/>
    <x v="90"/>
    <s v="60073377"/>
    <s v="000000P105000000161"/>
    <n v="1"/>
    <n v="6229000"/>
    <x v="2"/>
  </r>
  <r>
    <d v="2021-07-12T00:00:00"/>
    <x v="0"/>
    <s v="TIFFANY - TTP"/>
    <x v="154"/>
    <s v="24003554"/>
    <s v="000000P105000000162"/>
    <n v="1"/>
    <n v="63184000"/>
    <x v="2"/>
  </r>
  <r>
    <d v="2021-07-17T00:00:00"/>
    <x v="0"/>
    <s v="TIFFANY - TTP"/>
    <x v="86"/>
    <s v="60085086"/>
    <s v="000000P105000000163"/>
    <n v="1"/>
    <n v="5416000"/>
    <x v="2"/>
  </r>
  <r>
    <d v="2021-07-17T00:00:00"/>
    <x v="1"/>
    <s v="TIFFANY - TTP"/>
    <x v="103"/>
    <s v="60085087"/>
    <s v="000000P105000000164"/>
    <n v="1"/>
    <n v="6229000"/>
    <x v="2"/>
  </r>
  <r>
    <d v="2021-07-18T00:00:00"/>
    <x v="1"/>
    <s v="TIFFANY - TTP"/>
    <x v="155"/>
    <s v="60085088"/>
    <s v="000000P105000000165"/>
    <n v="1"/>
    <n v="27982000"/>
    <x v="2"/>
  </r>
  <r>
    <d v="2021-07-18T00:00:00"/>
    <x v="1"/>
    <s v="TIFFANY - TTP"/>
    <x v="156"/>
    <s v="60085088"/>
    <s v="000000P105000000165"/>
    <n v="1"/>
    <n v="27982000"/>
    <x v="2"/>
  </r>
  <r>
    <d v="2021-07-18T00:00:00"/>
    <x v="1"/>
    <s v="TIFFANY - TTP"/>
    <x v="105"/>
    <s v="60085089"/>
    <s v="000000P105000000166"/>
    <n v="1"/>
    <n v="10832000"/>
    <x v="2"/>
  </r>
  <r>
    <d v="2021-07-18T00:00:00"/>
    <x v="1"/>
    <s v="TIFFANY - TTP"/>
    <x v="90"/>
    <s v="60085090"/>
    <s v="000000P105000000167"/>
    <n v="1"/>
    <n v="6229000"/>
    <x v="2"/>
  </r>
  <r>
    <d v="2021-07-21T00:00:00"/>
    <x v="0"/>
    <s v="TIFFANY - TTP"/>
    <x v="157"/>
    <s v="60063583"/>
    <s v="000000P105000000168"/>
    <n v="1"/>
    <n v="67697000"/>
    <x v="2"/>
  </r>
  <r>
    <d v="2021-07-21T00:00:00"/>
    <x v="0"/>
    <s v="TIFFANY - TTP"/>
    <x v="158"/>
    <s v="60063583"/>
    <s v="000000P105000000168"/>
    <n v="1"/>
    <n v="38813000"/>
    <x v="2"/>
  </r>
  <r>
    <d v="2021-07-21T00:00:00"/>
    <x v="0"/>
    <s v="TIFFANY - TTP"/>
    <x v="159"/>
    <s v="60063583"/>
    <s v="000000P105000000168"/>
    <n v="1"/>
    <n v="48742000"/>
    <x v="2"/>
  </r>
  <r>
    <d v="2021-09-15T00:00:00"/>
    <x v="5"/>
    <s v="TIFFANY - TTP"/>
    <x v="86"/>
    <s v="60085091"/>
    <s v="000000P105000000169"/>
    <n v="1"/>
    <n v="5416000"/>
    <x v="3"/>
  </r>
  <r>
    <d v="2021-09-15T00:00:00"/>
    <x v="0"/>
    <s v="TIFFANY - TTP"/>
    <x v="160"/>
    <s v="60085092"/>
    <s v="000000P105000000170"/>
    <n v="1"/>
    <n v="285227000"/>
    <x v="3"/>
  </r>
  <r>
    <d v="2021-09-24T00:00:00"/>
    <x v="1"/>
    <s v="TIFFANY - TTP"/>
    <x v="161"/>
    <s v="60085093"/>
    <s v="000000P105000000171"/>
    <n v="1"/>
    <n v="10832000"/>
    <x v="3"/>
  </r>
  <r>
    <d v="2021-09-27T00:00:00"/>
    <x v="1"/>
    <s v="TIFFANY - TTP"/>
    <x v="123"/>
    <s v="60085105"/>
    <s v="000000P105000000172"/>
    <n v="1"/>
    <n v="26176000"/>
    <x v="3"/>
  </r>
  <r>
    <d v="2021-09-27T00:00:00"/>
    <x v="1"/>
    <s v="TIFFANY - TTP"/>
    <x v="162"/>
    <s v="60085104"/>
    <s v="000000P105000000173"/>
    <n v="1"/>
    <n v="6229000"/>
    <x v="3"/>
  </r>
  <r>
    <d v="2021-09-28T00:00:00"/>
    <x v="1"/>
    <s v="TIFFANY - TTP"/>
    <x v="163"/>
    <s v="60085103"/>
    <s v="000000P105000000174"/>
    <n v="1"/>
    <n v="6229000"/>
    <x v="3"/>
  </r>
  <r>
    <d v="2021-09-28T00:00:00"/>
    <x v="2"/>
    <s v="TIFFANY - TTP"/>
    <x v="164"/>
    <s v="60081050"/>
    <s v="000000P105000000175"/>
    <n v="1"/>
    <n v="43326000"/>
    <x v="3"/>
  </r>
  <r>
    <d v="2021-09-28T00:00:00"/>
    <x v="2"/>
    <s v="TIFFANY - TTP"/>
    <x v="165"/>
    <s v="60081050"/>
    <s v="000000P105000000175"/>
    <n v="1"/>
    <n v="43326000"/>
    <x v="3"/>
  </r>
  <r>
    <d v="2021-09-29T00:00:00"/>
    <x v="0"/>
    <s v="TIFFANY - TTP"/>
    <x v="166"/>
    <s v="24002596"/>
    <s v="000000P105000000176"/>
    <n v="1"/>
    <n v="143517000"/>
    <x v="3"/>
  </r>
  <r>
    <d v="2021-09-29T00:00:00"/>
    <x v="2"/>
    <s v="TIFFANY - TTP"/>
    <x v="167"/>
    <s v="60085102"/>
    <s v="000000P105000000177"/>
    <n v="1"/>
    <n v="114633000"/>
    <x v="3"/>
  </r>
  <r>
    <d v="2021-09-30T00:00:00"/>
    <x v="1"/>
    <s v="TIFFANY - TTP"/>
    <x v="168"/>
    <s v="60085101"/>
    <s v="000000P105000000178"/>
    <n v="1"/>
    <n v="31592000"/>
    <x v="3"/>
  </r>
  <r>
    <d v="2021-10-01T00:00:00"/>
    <x v="2"/>
    <s v="TIFFANY - TTP"/>
    <x v="169"/>
    <s v="60085100"/>
    <s v="000000P105000000180"/>
    <n v="1"/>
    <n v="37910000"/>
    <x v="4"/>
  </r>
  <r>
    <d v="2021-10-01T00:00:00"/>
    <x v="2"/>
    <s v="TIFFANY - TTP"/>
    <x v="170"/>
    <s v="60085100"/>
    <s v="000000P105000000180"/>
    <n v="1"/>
    <n v="43326000"/>
    <x v="4"/>
  </r>
  <r>
    <d v="2021-10-02T00:00:00"/>
    <x v="1"/>
    <s v="TIFFANY - TTP"/>
    <x v="9"/>
    <s v="60085099"/>
    <s v="000000P105000000181"/>
    <n v="1"/>
    <n v="6229000"/>
    <x v="4"/>
  </r>
  <r>
    <d v="2021-10-02T00:00:00"/>
    <x v="1"/>
    <s v="TIFFANY - TTP"/>
    <x v="171"/>
    <s v="60085098"/>
    <s v="000000P105000000182"/>
    <n v="1"/>
    <n v="59573000"/>
    <x v="4"/>
  </r>
  <r>
    <d v="2021-10-02T00:00:00"/>
    <x v="1"/>
    <s v="TIFFANY - TTP"/>
    <x v="172"/>
    <s v="MC0000000022"/>
    <s v="000000P105000000183"/>
    <n v="1"/>
    <n v="12096000"/>
    <x v="4"/>
  </r>
  <r>
    <d v="2021-10-02T00:00:00"/>
    <x v="1"/>
    <s v="TIFFANY - TTP"/>
    <x v="173"/>
    <s v="MC0000000022"/>
    <s v="000000P105000000183"/>
    <n v="1"/>
    <n v="13179000"/>
    <x v="4"/>
  </r>
  <r>
    <d v="2021-10-04T00:00:00"/>
    <x v="2"/>
    <s v="TIFFANY - TTP"/>
    <x v="174"/>
    <s v="MA001928"/>
    <s v="000000P105000000184"/>
    <n v="1"/>
    <n v="16970000"/>
    <x v="4"/>
  </r>
  <r>
    <d v="2021-10-05T00:00:00"/>
    <x v="1"/>
    <s v="TIFFANY - TTP"/>
    <x v="175"/>
    <s v="MC0000000028"/>
    <s v="000000P105000000185"/>
    <n v="1"/>
    <n v="6229000"/>
    <x v="4"/>
  </r>
  <r>
    <d v="2021-10-05T00:00:00"/>
    <x v="0"/>
    <s v="TIFFANY - TTP"/>
    <x v="176"/>
    <s v="60085097"/>
    <s v="000000P105000000186"/>
    <n v="1"/>
    <n v="227460000"/>
    <x v="4"/>
  </r>
  <r>
    <d v="2021-10-05T00:00:00"/>
    <x v="0"/>
    <s v="TIFFANY - TTP"/>
    <x v="177"/>
    <s v="60085097"/>
    <s v="000000P105000000186"/>
    <n v="1"/>
    <n v="225655000"/>
    <x v="4"/>
  </r>
  <r>
    <d v="2021-10-06T00:00:00"/>
    <x v="1"/>
    <s v="TIFFANY - TTP"/>
    <x v="123"/>
    <s v="60085096"/>
    <s v="000000P105000000187"/>
    <n v="1"/>
    <n v="26176000"/>
    <x v="4"/>
  </r>
  <r>
    <d v="2021-10-06T00:00:00"/>
    <x v="1"/>
    <s v="TIFFANY - TTP"/>
    <x v="178"/>
    <s v="60085094"/>
    <s v="000000P105000000188"/>
    <n v="1"/>
    <n v="11554000"/>
    <x v="4"/>
  </r>
  <r>
    <d v="2021-10-06T00:00:00"/>
    <x v="0"/>
    <s v="TIFFANY - TTP"/>
    <x v="179"/>
    <s v="60085095"/>
    <s v="000000P105000000189"/>
    <n v="1"/>
    <n v="48742000"/>
    <x v="4"/>
  </r>
  <r>
    <d v="2021-10-06T00:00:00"/>
    <x v="0"/>
    <s v="TIFFANY - TTP"/>
    <x v="180"/>
    <s v="60085095"/>
    <s v="000000P105000000189"/>
    <n v="1"/>
    <n v="43326000"/>
    <x v="4"/>
  </r>
  <r>
    <d v="2021-10-07T00:00:00"/>
    <x v="0"/>
    <s v="TIFFANY - TTP"/>
    <x v="181"/>
    <s v="60066101"/>
    <s v="000000P105000000190"/>
    <n v="1"/>
    <n v="28884000"/>
    <x v="4"/>
  </r>
  <r>
    <d v="2021-10-07T00:00:00"/>
    <x v="0"/>
    <s v="TIFFANY - TTP"/>
    <x v="182"/>
    <s v="60066101"/>
    <s v="000000P105000000190"/>
    <n v="1"/>
    <n v="55060000"/>
    <x v="4"/>
  </r>
  <r>
    <d v="2021-10-07T00:00:00"/>
    <x v="1"/>
    <s v="TIFFANY - TTP"/>
    <x v="183"/>
    <s v="MC0000000035"/>
    <s v="000000P105000000193"/>
    <n v="1"/>
    <n v="17240000"/>
    <x v="4"/>
  </r>
  <r>
    <d v="2021-10-08T00:00:00"/>
    <x v="1"/>
    <s v="TIFFANY - TTP"/>
    <x v="184"/>
    <s v="53000048"/>
    <s v="000000P105000000194"/>
    <n v="1"/>
    <n v="6680000"/>
    <x v="4"/>
  </r>
  <r>
    <d v="2021-10-08T00:00:00"/>
    <x v="1"/>
    <s v="TIFFANY - TTP"/>
    <x v="10"/>
    <s v="MC0000000038"/>
    <s v="000000P105000000195"/>
    <n v="1"/>
    <n v="6229000"/>
    <x v="4"/>
  </r>
  <r>
    <d v="2021-10-08T00:00:00"/>
    <x v="1"/>
    <s v="TIFFANY - TTP"/>
    <x v="185"/>
    <s v="MC0000000039"/>
    <s v="000000P105000000196"/>
    <n v="1"/>
    <n v="6229000"/>
    <x v="4"/>
  </r>
  <r>
    <d v="2021-10-09T00:00:00"/>
    <x v="1"/>
    <s v="TIFFANY - TTP"/>
    <x v="178"/>
    <s v="MC0000000040"/>
    <s v="000000P105000000197"/>
    <n v="1"/>
    <n v="11554000"/>
    <x v="4"/>
  </r>
  <r>
    <d v="2021-10-09T00:00:00"/>
    <x v="1"/>
    <s v="TIFFANY - TTP"/>
    <x v="186"/>
    <s v="MC0000000040"/>
    <s v="000000P105000000197"/>
    <n v="1"/>
    <n v="6229000"/>
    <x v="4"/>
  </r>
  <r>
    <d v="2021-10-09T00:00:00"/>
    <x v="1"/>
    <s v="TIFFANY - TTP"/>
    <x v="152"/>
    <s v="60078527"/>
    <s v="000000P105000000198"/>
    <n v="1"/>
    <n v="10832000"/>
    <x v="4"/>
  </r>
  <r>
    <d v="2021-10-09T00:00:00"/>
    <x v="1"/>
    <s v="TIFFANY - TTP"/>
    <x v="146"/>
    <s v="MC0000000048"/>
    <s v="000000P105000000199"/>
    <n v="1"/>
    <n v="26176000"/>
    <x v="4"/>
  </r>
  <r>
    <d v="2021-10-10T00:00:00"/>
    <x v="1"/>
    <s v="TIFFANY - TTP"/>
    <x v="187"/>
    <s v="MC0000000059"/>
    <s v="000000P105000000200"/>
    <n v="1"/>
    <n v="22566000"/>
    <x v="4"/>
  </r>
  <r>
    <d v="2021-10-10T00:00:00"/>
    <x v="3"/>
    <s v="TIFFANY - TTP"/>
    <x v="188"/>
    <s v="PV000303"/>
    <s v="000000P105000000201"/>
    <n v="1"/>
    <n v="72210000"/>
    <x v="4"/>
  </r>
  <r>
    <d v="2021-10-10T00:00:00"/>
    <x v="3"/>
    <s v="TIFFANY - TTP"/>
    <x v="134"/>
    <s v="PV000303"/>
    <s v="000000P105000000201"/>
    <n v="1"/>
    <n v="56865000"/>
    <x v="4"/>
  </r>
  <r>
    <d v="2021-10-11T00:00:00"/>
    <x v="0"/>
    <s v="TIFFANY - TTP"/>
    <x v="189"/>
    <s v="60090833"/>
    <s v="000000P105000000202"/>
    <n v="1"/>
    <n v="72210000"/>
    <x v="4"/>
  </r>
  <r>
    <d v="2021-10-11T00:00:00"/>
    <x v="0"/>
    <s v="TIFFANY - TTP"/>
    <x v="190"/>
    <s v="60090833"/>
    <s v="000000P105000000202"/>
    <n v="1"/>
    <n v="114633000"/>
    <x v="4"/>
  </r>
  <r>
    <d v="2021-10-12T00:00:00"/>
    <x v="1"/>
    <s v="TIFFANY - TTP"/>
    <x v="178"/>
    <s v="03001727"/>
    <s v="000000P105000000204"/>
    <n v="1"/>
    <n v="11554000"/>
    <x v="4"/>
  </r>
  <r>
    <d v="2021-10-12T00:00:00"/>
    <x v="1"/>
    <s v="TIFFANY - TTP"/>
    <x v="186"/>
    <s v="03001727"/>
    <s v="000000P105000000204"/>
    <n v="1"/>
    <n v="6951000"/>
    <x v="4"/>
  </r>
  <r>
    <d v="2021-10-12T00:00:00"/>
    <x v="0"/>
    <s v="TIFFANY - TTP"/>
    <x v="185"/>
    <s v="20000526"/>
    <s v="000000P105000000205"/>
    <n v="1"/>
    <n v="6951000"/>
    <x v="4"/>
  </r>
  <r>
    <d v="2021-10-13T00:00:00"/>
    <x v="0"/>
    <s v="TIFFANY - TTP"/>
    <x v="191"/>
    <s v="13000508"/>
    <s v="000000P105000000206"/>
    <n v="1"/>
    <n v="51450000"/>
    <x v="4"/>
  </r>
  <r>
    <d v="2021-10-13T00:00:00"/>
    <x v="0"/>
    <s v="TIFFANY - TTP"/>
    <x v="192"/>
    <s v="13000508"/>
    <s v="000000P105000000206"/>
    <n v="1"/>
    <n v="100191000"/>
    <x v="4"/>
  </r>
  <r>
    <d v="2021-10-13T00:00:00"/>
    <x v="0"/>
    <s v="TIFFANY - TTP"/>
    <x v="193"/>
    <s v="13000508"/>
    <s v="000000P105000000207"/>
    <n v="1"/>
    <n v="29787000"/>
    <x v="4"/>
  </r>
  <r>
    <d v="2021-10-13T00:00:00"/>
    <x v="1"/>
    <s v="TIFFANY - TTP"/>
    <x v="191"/>
    <s v="MC0000000080"/>
    <s v="000000P105000000208"/>
    <n v="1"/>
    <n v="51450000"/>
    <x v="4"/>
  </r>
  <r>
    <d v="2021-10-13T00:00:00"/>
    <x v="0"/>
    <s v="TIFFANY - TTP"/>
    <x v="2"/>
    <s v="09000224"/>
    <s v="000000P105000000209"/>
    <n v="1"/>
    <n v="6951000"/>
    <x v="4"/>
  </r>
  <r>
    <d v="2021-10-13T00:00:00"/>
    <x v="0"/>
    <s v="TIFFANY - TTP"/>
    <x v="186"/>
    <s v="09000224"/>
    <s v="000000P105000000209"/>
    <n v="1"/>
    <n v="6951000"/>
    <x v="4"/>
  </r>
  <r>
    <d v="2021-10-13T00:00:00"/>
    <x v="0"/>
    <s v="TIFFANY - TTP"/>
    <x v="194"/>
    <s v="60078468"/>
    <s v="000000P105000000210"/>
    <n v="1"/>
    <n v="56865000"/>
    <x v="4"/>
  </r>
  <r>
    <d v="2021-10-13T00:00:00"/>
    <x v="0"/>
    <s v="TIFFANY - TTP"/>
    <x v="195"/>
    <s v="60078468"/>
    <s v="000000P105000000210"/>
    <n v="1"/>
    <n v="120951000"/>
    <x v="4"/>
  </r>
  <r>
    <d v="2021-10-13T00:00:00"/>
    <x v="0"/>
    <s v="TIFFANY - TTP"/>
    <x v="196"/>
    <s v="39000072"/>
    <s v="000000P105000000211"/>
    <n v="1"/>
    <n v="60476000"/>
    <x v="4"/>
  </r>
  <r>
    <d v="2021-10-13T00:00:00"/>
    <x v="0"/>
    <s v="TIFFANY - TTP"/>
    <x v="197"/>
    <s v="39000072"/>
    <s v="000000P105000000211"/>
    <n v="1"/>
    <n v="22566000"/>
    <x v="4"/>
  </r>
  <r>
    <d v="2021-10-14T00:00:00"/>
    <x v="0"/>
    <s v="TIFFANY - TTP"/>
    <x v="198"/>
    <s v="19000025"/>
    <s v="000000P105000000212"/>
    <n v="1"/>
    <n v="25274000"/>
    <x v="4"/>
  </r>
  <r>
    <d v="2021-10-14T00:00:00"/>
    <x v="0"/>
    <s v="TIFFANY - TTP"/>
    <x v="199"/>
    <s v="19000025"/>
    <s v="000000P105000000212"/>
    <n v="1"/>
    <n v="29787000"/>
    <x v="4"/>
  </r>
  <r>
    <d v="2021-10-14T00:00:00"/>
    <x v="1"/>
    <s v="TIFFANY - TTP"/>
    <x v="162"/>
    <s v="MC0000000092"/>
    <s v="000000P105000000213"/>
    <n v="1"/>
    <n v="6951000"/>
    <x v="4"/>
  </r>
  <r>
    <d v="2021-10-14T00:00:00"/>
    <x v="0"/>
    <s v="TIFFANY - TTP"/>
    <x v="200"/>
    <s v="22000031"/>
    <s v="000000P105000000214"/>
    <n v="1"/>
    <n v="109217000"/>
    <x v="4"/>
  </r>
  <r>
    <d v="2021-10-14T00:00:00"/>
    <x v="1"/>
    <s v="TIFFANY - TTP"/>
    <x v="201"/>
    <s v="MC0000000100"/>
    <s v="000000P105000000215"/>
    <n v="1"/>
    <n v="13179000"/>
    <x v="4"/>
  </r>
  <r>
    <d v="2021-10-15T00:00:00"/>
    <x v="0"/>
    <s v="TIFFANY - TTP"/>
    <x v="202"/>
    <s v="60062549"/>
    <s v="000000P105000000216"/>
    <n v="1"/>
    <n v="77626000"/>
    <x v="4"/>
  </r>
  <r>
    <d v="2021-10-15T00:00:00"/>
    <x v="0"/>
    <s v="TIFFANY - TTP"/>
    <x v="203"/>
    <s v="60062549"/>
    <s v="000000P105000000216"/>
    <n v="1"/>
    <n v="60476000"/>
    <x v="4"/>
  </r>
  <r>
    <d v="2021-10-15T00:00:00"/>
    <x v="0"/>
    <s v="TIFFANY - TTP"/>
    <x v="111"/>
    <s v="27000944"/>
    <s v="000000P105000000217"/>
    <n v="1"/>
    <n v="6951000"/>
    <x v="4"/>
  </r>
  <r>
    <d v="2021-10-15T00:00:00"/>
    <x v="0"/>
    <s v="TIFFANY - TTP"/>
    <x v="204"/>
    <s v="60089865"/>
    <s v="000000P105000000218"/>
    <n v="1"/>
    <n v="114633000"/>
    <x v="4"/>
  </r>
  <r>
    <d v="2021-10-15T00:00:00"/>
    <x v="0"/>
    <s v="TIFFANY - TTP"/>
    <x v="205"/>
    <s v="60089865"/>
    <s v="000000P105000000218"/>
    <n v="1"/>
    <n v="56865000"/>
    <x v="4"/>
  </r>
  <r>
    <d v="2021-10-16T00:00:00"/>
    <x v="1"/>
    <s v="TIFFANY - TTP"/>
    <x v="206"/>
    <s v="MC0000000115"/>
    <s v="000000P105000000219"/>
    <n v="1"/>
    <n v="48742000"/>
    <x v="4"/>
  </r>
  <r>
    <d v="2021-10-16T00:00:00"/>
    <x v="1"/>
    <s v="TIFFANY - TTP"/>
    <x v="207"/>
    <s v="MC0000000122"/>
    <s v="000000P105000000221"/>
    <n v="1"/>
    <n v="46034000"/>
    <x v="4"/>
  </r>
  <r>
    <d v="2021-10-16T00:00:00"/>
    <x v="1"/>
    <s v="TIFFANY - TTP"/>
    <x v="126"/>
    <s v="MC0000000134"/>
    <s v="000000P105000000224"/>
    <n v="1"/>
    <n v="36105000"/>
    <x v="4"/>
  </r>
  <r>
    <d v="2021-10-17T00:00:00"/>
    <x v="1"/>
    <s v="TIFFANY - TTP"/>
    <x v="2"/>
    <s v="MC0000000138"/>
    <s v="000000P105000000225"/>
    <n v="1"/>
    <n v="6951000"/>
    <x v="4"/>
  </r>
  <r>
    <d v="2021-10-17T00:00:00"/>
    <x v="1"/>
    <s v="TIFFANY - TTP"/>
    <x v="146"/>
    <s v="MC0000000105"/>
    <s v="000000P105000000226"/>
    <n v="1"/>
    <n v="26176000"/>
    <x v="4"/>
  </r>
  <r>
    <d v="2021-10-17T00:00:00"/>
    <x v="0"/>
    <s v="TIFFANY - TTP"/>
    <x v="208"/>
    <s v="24002686"/>
    <s v="000000P105000000227"/>
    <n v="1"/>
    <n v="148030000"/>
    <x v="4"/>
  </r>
  <r>
    <d v="2021-10-17T00:00:00"/>
    <x v="0"/>
    <s v="TIFFANY - TTP"/>
    <x v="16"/>
    <s v="24002686"/>
    <s v="000000P105000000227"/>
    <n v="1"/>
    <n v="9388000"/>
    <x v="4"/>
  </r>
  <r>
    <d v="2021-10-17T00:00:00"/>
    <x v="0"/>
    <s v="TIFFANY - TTP"/>
    <x v="209"/>
    <s v="60065296"/>
    <s v="000000P105000000229"/>
    <n v="1"/>
    <n v="92067000"/>
    <x v="4"/>
  </r>
  <r>
    <d v="2021-10-17T00:00:00"/>
    <x v="1"/>
    <s v="TIFFANY - TTP"/>
    <x v="210"/>
    <s v="MC0000000150"/>
    <s v="000000P105000000230"/>
    <n v="1"/>
    <n v="7763000"/>
    <x v="4"/>
  </r>
  <r>
    <d v="2021-10-17T00:00:00"/>
    <x v="2"/>
    <s v="TIFFANY - TTP"/>
    <x v="82"/>
    <s v="MC0000000154"/>
    <s v="000000P105000000231"/>
    <n v="1"/>
    <n v="92067000"/>
    <x v="4"/>
  </r>
  <r>
    <d v="2021-10-17T00:00:00"/>
    <x v="0"/>
    <s v="TIFFANY - TTP"/>
    <x v="82"/>
    <s v="08001361"/>
    <s v="000000P105000000232"/>
    <n v="1"/>
    <n v="92067000"/>
    <x v="4"/>
  </r>
  <r>
    <d v="2021-10-17T00:00:00"/>
    <x v="0"/>
    <s v="TIFFANY - TTP"/>
    <x v="211"/>
    <s v="MA001920"/>
    <s v="000000P105000000233"/>
    <n v="1"/>
    <n v="200381000"/>
    <x v="4"/>
  </r>
  <r>
    <d v="2021-10-17T00:00:00"/>
    <x v="2"/>
    <s v="TIFFANY - TTP"/>
    <x v="75"/>
    <s v="27000538"/>
    <s v="000000P105000000234"/>
    <n v="1"/>
    <n v="79431000"/>
    <x v="4"/>
  </r>
  <r>
    <d v="2021-10-17T00:00:00"/>
    <x v="2"/>
    <s v="TIFFANY - TTP"/>
    <x v="212"/>
    <s v="27000538"/>
    <s v="000000P105000000234"/>
    <n v="1"/>
    <n v="70405000"/>
    <x v="4"/>
  </r>
  <r>
    <d v="2021-10-17T00:00:00"/>
    <x v="0"/>
    <s v="TIFFANY - TTP"/>
    <x v="213"/>
    <s v="22000426"/>
    <s v="000000P105000000235"/>
    <n v="1"/>
    <n v="160666000"/>
    <x v="4"/>
  </r>
  <r>
    <d v="2021-10-17T00:00:00"/>
    <x v="0"/>
    <s v="TIFFANY - TTP"/>
    <x v="214"/>
    <s v="22000426"/>
    <s v="000000P105000000235"/>
    <n v="1"/>
    <n v="572260000"/>
    <x v="4"/>
  </r>
  <r>
    <d v="2021-10-18T00:00:00"/>
    <x v="0"/>
    <s v="TIFFANY - TTP"/>
    <x v="215"/>
    <s v="MC0000000166"/>
    <s v="000000P105000000236"/>
    <n v="1"/>
    <n v="330358000"/>
    <x v="4"/>
  </r>
  <r>
    <d v="2021-10-18T00:00:00"/>
    <x v="0"/>
    <s v="TIFFANY - TTP"/>
    <x v="216"/>
    <s v="60084742"/>
    <s v="000000P105000000237"/>
    <n v="1"/>
    <n v="74015000"/>
    <x v="4"/>
  </r>
  <r>
    <d v="2021-10-18T00:00:00"/>
    <x v="0"/>
    <s v="TIFFANY - TTP"/>
    <x v="217"/>
    <s v="MC0000000171"/>
    <s v="000000P105000000238"/>
    <n v="1"/>
    <n v="159764000"/>
    <x v="4"/>
  </r>
  <r>
    <d v="2021-10-19T00:00:00"/>
    <x v="1"/>
    <s v="TIFFANY - TTP"/>
    <x v="162"/>
    <s v="20000519"/>
    <s v="000000P105000000239"/>
    <n v="1"/>
    <n v="6951000"/>
    <x v="4"/>
  </r>
  <r>
    <d v="2021-10-19T00:00:00"/>
    <x v="1"/>
    <s v="TIFFANY - TTP"/>
    <x v="218"/>
    <s v="MC0000000175"/>
    <s v="000000P105000000240"/>
    <n v="1"/>
    <n v="6951000"/>
    <x v="4"/>
  </r>
  <r>
    <d v="2021-10-19T00:00:00"/>
    <x v="2"/>
    <s v="TIFFANY - TTP"/>
    <x v="219"/>
    <s v="60077796"/>
    <s v="000000P105000000241"/>
    <n v="1"/>
    <n v="60476000"/>
    <x v="4"/>
  </r>
  <r>
    <d v="2021-10-19T00:00:00"/>
    <x v="1"/>
    <s v="TIFFANY - TTP"/>
    <x v="220"/>
    <s v="MC0000000185"/>
    <s v="000000P105000000242"/>
    <n v="1"/>
    <n v="21663000"/>
    <x v="4"/>
  </r>
  <r>
    <d v="2021-10-19T00:00:00"/>
    <x v="0"/>
    <s v="TIFFANY - TTP"/>
    <x v="67"/>
    <s v="MC0000000186"/>
    <s v="000000P105000000243"/>
    <n v="1"/>
    <n v="64989000"/>
    <x v="4"/>
  </r>
  <r>
    <d v="2021-10-19T00:00:00"/>
    <x v="0"/>
    <s v="TIFFANY - TTP"/>
    <x v="221"/>
    <s v="MC0000000186"/>
    <s v="000000P105000000243"/>
    <n v="1"/>
    <n v="22566000"/>
    <x v="4"/>
  </r>
  <r>
    <d v="2021-10-19T00:00:00"/>
    <x v="3"/>
    <s v="TIFFANY - TTP"/>
    <x v="190"/>
    <s v="18010607"/>
    <s v="000000P105000000244"/>
    <n v="1"/>
    <n v="114633000"/>
    <x v="4"/>
  </r>
  <r>
    <d v="2021-10-20T00:00:00"/>
    <x v="1"/>
    <s v="TIFFANY - TTP"/>
    <x v="111"/>
    <s v="60081914"/>
    <s v="000000P105000000245"/>
    <n v="1"/>
    <n v="6951000"/>
    <x v="4"/>
  </r>
  <r>
    <d v="2021-10-20T00:00:00"/>
    <x v="2"/>
    <s v="TIFFANY - TTP"/>
    <x v="222"/>
    <s v="27001314"/>
    <s v="000000P105000000246"/>
    <n v="1"/>
    <n v="26176000"/>
    <x v="4"/>
  </r>
  <r>
    <d v="2021-10-20T00:00:00"/>
    <x v="1"/>
    <s v="TIFFANY - TTP"/>
    <x v="108"/>
    <s v="MC0000000199"/>
    <s v="000000P105000000247"/>
    <n v="1"/>
    <n v="40618000"/>
    <x v="4"/>
  </r>
  <r>
    <d v="2021-10-20T00:00:00"/>
    <x v="0"/>
    <s v="TIFFANY - TTP"/>
    <x v="223"/>
    <s v="MC0000000186"/>
    <s v="000000P105000000248"/>
    <n v="1"/>
    <n v="256344000"/>
    <x v="4"/>
  </r>
  <r>
    <d v="2021-10-20T00:00:00"/>
    <x v="1"/>
    <s v="TIFFANY - TTP"/>
    <x v="224"/>
    <s v="MC0000000209"/>
    <s v="000000P105000000249"/>
    <n v="1"/>
    <n v="6951000"/>
    <x v="4"/>
  </r>
  <r>
    <d v="2021-10-20T00:00:00"/>
    <x v="0"/>
    <s v="TIFFANY - TTP"/>
    <x v="204"/>
    <s v="24003667"/>
    <s v="000000P105000000250"/>
    <n v="1"/>
    <n v="114633000"/>
    <x v="4"/>
  </r>
  <r>
    <d v="2021-10-20T00:00:00"/>
    <x v="0"/>
    <s v="TIFFANY - TTP"/>
    <x v="8"/>
    <s v="24003667"/>
    <s v="000000P105000000250"/>
    <n v="1"/>
    <n v="6951000"/>
    <x v="4"/>
  </r>
  <r>
    <d v="2021-10-20T00:00:00"/>
    <x v="0"/>
    <s v="TIFFANY - TTP"/>
    <x v="225"/>
    <s v="MC0000000207"/>
    <s v="000000P105000000251"/>
    <n v="1"/>
    <n v="103801000"/>
    <x v="4"/>
  </r>
  <r>
    <d v="2021-10-20T00:00:00"/>
    <x v="1"/>
    <s v="TIFFANY - TTP"/>
    <x v="226"/>
    <s v="MC0000000212"/>
    <s v="000000P105000000252"/>
    <n v="1"/>
    <n v="50547000"/>
    <x v="4"/>
  </r>
  <r>
    <d v="2021-10-21T00:00:00"/>
    <x v="1"/>
    <s v="TIFFANY - TTP"/>
    <x v="212"/>
    <s v="MC0000000217"/>
    <s v="000000P105000000253"/>
    <n v="1"/>
    <n v="70405000"/>
    <x v="4"/>
  </r>
  <r>
    <d v="2021-10-21T00:00:00"/>
    <x v="1"/>
    <s v="TIFFANY - TTP"/>
    <x v="72"/>
    <s v="MC0000000224"/>
    <s v="000000P105000000254"/>
    <n v="1"/>
    <n v="26176000"/>
    <x v="4"/>
  </r>
  <r>
    <d v="2021-10-22T00:00:00"/>
    <x v="2"/>
    <s v="TIFFANY - TTP"/>
    <x v="227"/>
    <s v="60081187"/>
    <s v="000000P105000000255"/>
    <n v="1"/>
    <n v="13179000"/>
    <x v="4"/>
  </r>
  <r>
    <d v="2021-10-22T00:00:00"/>
    <x v="2"/>
    <s v="TIFFANY - TTP"/>
    <x v="228"/>
    <s v="60081187"/>
    <s v="000000P105000000255"/>
    <n v="1"/>
    <n v="11554000"/>
    <x v="4"/>
  </r>
  <r>
    <d v="2021-10-22T00:00:00"/>
    <x v="0"/>
    <s v="TIFFANY - TTP"/>
    <x v="229"/>
    <s v="MA002648"/>
    <s v="000000P105000000256"/>
    <n v="1"/>
    <n v="68599000"/>
    <x v="4"/>
  </r>
  <r>
    <d v="2021-10-23T00:00:00"/>
    <x v="1"/>
    <s v="TIFFANY - TTP"/>
    <x v="108"/>
    <s v="MC0000000237"/>
    <s v="000000P105000000257"/>
    <n v="1"/>
    <n v="40618000"/>
    <x v="4"/>
  </r>
  <r>
    <d v="2021-10-23T00:00:00"/>
    <x v="1"/>
    <s v="TIFFANY - TTP"/>
    <x v="123"/>
    <s v="MC0000000240"/>
    <s v="000000P105000000258"/>
    <n v="1"/>
    <n v="26176000"/>
    <x v="4"/>
  </r>
  <r>
    <d v="2021-10-23T00:00:00"/>
    <x v="0"/>
    <s v="TIFFANY - TTP"/>
    <x v="230"/>
    <s v="08001224"/>
    <s v="000000P105000000259"/>
    <n v="1"/>
    <n v="6951000"/>
    <x v="4"/>
  </r>
  <r>
    <d v="2021-10-23T00:00:00"/>
    <x v="0"/>
    <s v="TIFFANY - TTP"/>
    <x v="231"/>
    <s v="60084239"/>
    <s v="000000P105000000260"/>
    <n v="1"/>
    <n v="56865000"/>
    <x v="4"/>
  </r>
  <r>
    <d v="2021-10-23T00:00:00"/>
    <x v="0"/>
    <s v="TIFFANY - TTP"/>
    <x v="232"/>
    <s v="05001353"/>
    <s v="000000P105000000261"/>
    <n v="1"/>
    <n v="10832000"/>
    <x v="4"/>
  </r>
  <r>
    <d v="2021-10-23T00:00:00"/>
    <x v="0"/>
    <s v="TIFFANY - TTP"/>
    <x v="233"/>
    <s v="16000039"/>
    <s v="000000P105000000262"/>
    <n v="1"/>
    <n v="505466000"/>
    <x v="4"/>
  </r>
  <r>
    <d v="2021-10-23T00:00:00"/>
    <x v="1"/>
    <s v="TIFFANY - TTP"/>
    <x v="234"/>
    <s v="21000564"/>
    <s v="000000P105000000263"/>
    <n v="1"/>
    <n v="74015000"/>
    <x v="4"/>
  </r>
  <r>
    <d v="2021-10-23T00:00:00"/>
    <x v="2"/>
    <s v="TIFFANY - TTP"/>
    <x v="224"/>
    <s v="23000267"/>
    <s v="000000P105000000264"/>
    <n v="1"/>
    <n v="6951000"/>
    <x v="4"/>
  </r>
  <r>
    <d v="2021-10-24T00:00:00"/>
    <x v="1"/>
    <s v="TIFFANY - TTP"/>
    <x v="123"/>
    <s v="MC0000000265"/>
    <s v="000000P105000000269"/>
    <n v="1"/>
    <n v="26176000"/>
    <x v="4"/>
  </r>
  <r>
    <d v="2021-10-24T00:00:00"/>
    <x v="1"/>
    <s v="TIFFANY - TTP"/>
    <x v="235"/>
    <s v="MC0000000268"/>
    <s v="000000P105000000270"/>
    <n v="1"/>
    <n v="15435000"/>
    <x v="4"/>
  </r>
  <r>
    <d v="2021-10-25T00:00:00"/>
    <x v="0"/>
    <s v="TIFFANY - TTP"/>
    <x v="236"/>
    <s v="19000068"/>
    <s v="000000P105000000272"/>
    <n v="1"/>
    <n v="178719000"/>
    <x v="4"/>
  </r>
  <r>
    <d v="2021-10-25T00:00:00"/>
    <x v="0"/>
    <s v="TIFFANY - TTP"/>
    <x v="237"/>
    <s v="60077685"/>
    <s v="000000P105000000273"/>
    <n v="1"/>
    <n v="171498000"/>
    <x v="4"/>
  </r>
  <r>
    <d v="2021-10-25T00:00:00"/>
    <x v="0"/>
    <s v="TIFFANY - TTP"/>
    <x v="238"/>
    <s v="60077685"/>
    <s v="000000P105000000273"/>
    <n v="1"/>
    <n v="106509000"/>
    <x v="4"/>
  </r>
  <r>
    <d v="2021-10-26T00:00:00"/>
    <x v="1"/>
    <s v="TIFFANY - TTP"/>
    <x v="232"/>
    <s v="MC0000000281"/>
    <s v="000000P105000000274"/>
    <n v="1"/>
    <n v="10832000"/>
    <x v="4"/>
  </r>
  <r>
    <d v="2021-10-26T00:00:00"/>
    <x v="1"/>
    <s v="TIFFANY - TTP"/>
    <x v="2"/>
    <s v="60091037"/>
    <s v="000000P105000000275"/>
    <n v="1"/>
    <n v="6951000"/>
    <x v="4"/>
  </r>
  <r>
    <d v="2021-10-27T00:00:00"/>
    <x v="0"/>
    <s v="TIFFANY - TTP"/>
    <x v="239"/>
    <s v="09000109"/>
    <s v="000000P105000000276"/>
    <n v="1"/>
    <n v="50547000"/>
    <x v="4"/>
  </r>
  <r>
    <d v="2021-10-28T00:00:00"/>
    <x v="1"/>
    <s v="TIFFANY - TTP"/>
    <x v="240"/>
    <s v="MC0000000300"/>
    <s v="000000P105000000278"/>
    <n v="1"/>
    <n v="14262000"/>
    <x v="4"/>
  </r>
  <r>
    <d v="2021-10-28T00:00:00"/>
    <x v="1"/>
    <s v="TIFFANY - TTP"/>
    <x v="210"/>
    <s v="MC0000000306"/>
    <s v="000000P105000000279"/>
    <n v="1"/>
    <n v="7763000"/>
    <x v="4"/>
  </r>
  <r>
    <d v="2021-10-28T00:00:00"/>
    <x v="0"/>
    <s v="TIFFANY - TTP"/>
    <x v="241"/>
    <s v="60067426"/>
    <s v="000000P105000000280"/>
    <n v="1"/>
    <n v="384515000"/>
    <x v="4"/>
  </r>
  <r>
    <d v="2021-10-28T00:00:00"/>
    <x v="1"/>
    <s v="TIFFANY - TTP"/>
    <x v="230"/>
    <s v="MC0000000306"/>
    <s v="000000P105000000281"/>
    <n v="1"/>
    <n v="6951000"/>
    <x v="4"/>
  </r>
  <r>
    <d v="2021-10-28T00:00:00"/>
    <x v="1"/>
    <s v="TIFFANY - TTP"/>
    <x v="230"/>
    <s v="MC0000000315"/>
    <s v="000000P105000000282"/>
    <n v="1"/>
    <n v="6951000"/>
    <x v="4"/>
  </r>
  <r>
    <d v="2021-10-28T00:00:00"/>
    <x v="1"/>
    <s v="TIFFANY - TTP"/>
    <x v="242"/>
    <s v="MC0000000319"/>
    <s v="000000P105000000283"/>
    <n v="1"/>
    <n v="55060000"/>
    <x v="4"/>
  </r>
  <r>
    <d v="2021-10-28T00:00:00"/>
    <x v="0"/>
    <s v="TIFFANY - TTP"/>
    <x v="243"/>
    <s v="60067370"/>
    <s v="000000P105000000284"/>
    <n v="1"/>
    <n v="265370000"/>
    <x v="4"/>
  </r>
  <r>
    <d v="2021-10-29T00:00:00"/>
    <x v="0"/>
    <s v="TIFFANY - TTP"/>
    <x v="244"/>
    <s v="24001936"/>
    <s v="000000P105000000285"/>
    <n v="1"/>
    <n v="63184000"/>
    <x v="4"/>
  </r>
  <r>
    <d v="2021-10-29T00:00:00"/>
    <x v="2"/>
    <s v="TIFFANY - TTP"/>
    <x v="245"/>
    <s v="MC0000000343"/>
    <s v="000000P105000000286"/>
    <n v="1"/>
    <n v="46937000"/>
    <x v="4"/>
  </r>
  <r>
    <d v="2021-10-29T00:00:00"/>
    <x v="2"/>
    <s v="TIFFANY - TTP"/>
    <x v="246"/>
    <s v="MC0000000343"/>
    <s v="000000P105000000286"/>
    <n v="1"/>
    <n v="46937000"/>
    <x v="4"/>
  </r>
  <r>
    <d v="2021-10-29T00:00:00"/>
    <x v="0"/>
    <s v="TIFFANY - TTP"/>
    <x v="247"/>
    <s v="24001936"/>
    <s v="000000P105000000287"/>
    <n v="1"/>
    <n v="56865000"/>
    <x v="4"/>
  </r>
  <r>
    <d v="2021-10-29T00:00:00"/>
    <x v="0"/>
    <s v="TIFFANY - TTP"/>
    <x v="244"/>
    <s v="24001936"/>
    <s v="000000P105000000289"/>
    <n v="-1"/>
    <n v="-63184000"/>
    <x v="4"/>
  </r>
  <r>
    <d v="2021-10-30T00:00:00"/>
    <x v="0"/>
    <s v="TIFFANY - TTP"/>
    <x v="95"/>
    <s v="24001124"/>
    <s v="000000P105000000290"/>
    <n v="1"/>
    <n v="68599000"/>
    <x v="4"/>
  </r>
  <r>
    <d v="2021-10-30T00:00:00"/>
    <x v="0"/>
    <s v="TIFFANY - TTP"/>
    <x v="40"/>
    <s v="24001124"/>
    <s v="000000P105000000290"/>
    <n v="1"/>
    <n v="9388000"/>
    <x v="4"/>
  </r>
  <r>
    <d v="2021-10-30T00:00:00"/>
    <x v="2"/>
    <s v="TIFFANY - TTP"/>
    <x v="248"/>
    <s v="60079105"/>
    <s v="000000P105000000291"/>
    <n v="1"/>
    <n v="97483000"/>
    <x v="4"/>
  </r>
  <r>
    <d v="2021-10-30T00:00:00"/>
    <x v="2"/>
    <s v="TIFFANY - TTP"/>
    <x v="249"/>
    <s v="08001406"/>
    <s v="000000P105000000292"/>
    <n v="1"/>
    <n v="55060000"/>
    <x v="4"/>
  </r>
  <r>
    <d v="2021-10-30T00:00:00"/>
    <x v="2"/>
    <s v="TIFFANY - TTP"/>
    <x v="250"/>
    <s v="08001406"/>
    <s v="000000P105000000292"/>
    <n v="1"/>
    <n v="43326000"/>
    <x v="4"/>
  </r>
  <r>
    <d v="2021-10-31T00:00:00"/>
    <x v="1"/>
    <s v="TIFFANY - TTP"/>
    <x v="251"/>
    <s v="MA003074"/>
    <s v="000000P105000000293"/>
    <n v="1"/>
    <n v="12096000"/>
    <x v="4"/>
  </r>
  <r>
    <d v="2021-10-31T00:00:00"/>
    <x v="1"/>
    <s v="TIFFANY - TTP"/>
    <x v="252"/>
    <s v="MC0000000365"/>
    <s v="000000P105000000294"/>
    <n v="1"/>
    <n v="24371000"/>
    <x v="4"/>
  </r>
  <r>
    <d v="2021-10-31T00:00:00"/>
    <x v="0"/>
    <s v="TIFFANY - TTP"/>
    <x v="253"/>
    <s v="MC0000000369"/>
    <s v="000000P105000000295"/>
    <n v="1"/>
    <n v="178719000"/>
    <x v="4"/>
  </r>
  <r>
    <d v="2021-10-31T00:00:00"/>
    <x v="0"/>
    <s v="TIFFANY - TTP"/>
    <x v="254"/>
    <s v="60081038"/>
    <s v="000000P105000000296"/>
    <n v="1"/>
    <n v="82139000"/>
    <x v="4"/>
  </r>
  <r>
    <d v="2021-10-31T00:00:00"/>
    <x v="0"/>
    <s v="TIFFANY - TTP"/>
    <x v="209"/>
    <s v="06000114"/>
    <s v="000000P105000000297"/>
    <n v="1"/>
    <n v="92067000"/>
    <x v="4"/>
  </r>
  <r>
    <d v="2021-10-31T00:00:00"/>
    <x v="0"/>
    <s v="TIFFANY - TTP"/>
    <x v="255"/>
    <s v="06000114"/>
    <s v="000000P105000000297"/>
    <n v="1"/>
    <n v="56865000"/>
    <x v="4"/>
  </r>
  <r>
    <d v="2021-10-31T00:00:00"/>
    <x v="0"/>
    <s v="TIFFANY - TTP"/>
    <x v="256"/>
    <s v="60081958"/>
    <s v="000000P105000000298"/>
    <n v="1"/>
    <n v="12366000"/>
    <x v="4"/>
  </r>
  <r>
    <d v="2021-10-31T00:00:00"/>
    <x v="0"/>
    <s v="TIFFANY - TTP"/>
    <x v="257"/>
    <s v="20001306"/>
    <s v="000000P105000000299"/>
    <n v="1"/>
    <n v="164277000"/>
    <x v="4"/>
  </r>
  <r>
    <d v="2021-10-31T00:00:00"/>
    <x v="0"/>
    <s v="TIFFANY - TTP"/>
    <x v="258"/>
    <s v="20001306"/>
    <s v="000000P105000000299"/>
    <n v="1"/>
    <n v="28884000"/>
    <x v="4"/>
  </r>
  <r>
    <d v="2021-11-02T00:00:00"/>
    <x v="1"/>
    <s v="TIFFANY - TTP"/>
    <x v="259"/>
    <s v="MC0000000396"/>
    <s v="000000P105000000300"/>
    <n v="1"/>
    <n v="6951000"/>
    <x v="5"/>
  </r>
  <r>
    <d v="2021-11-02T00:00:00"/>
    <x v="0"/>
    <s v="TIFFANY - TTP"/>
    <x v="115"/>
    <s v="60078232"/>
    <s v="000000P105000000301"/>
    <n v="1"/>
    <n v="8485000"/>
    <x v="5"/>
  </r>
  <r>
    <d v="2021-11-03T00:00:00"/>
    <x v="1"/>
    <s v="TIFFANY - TTP"/>
    <x v="149"/>
    <s v="MC0000000412"/>
    <s v="000000P105000000302"/>
    <n v="1"/>
    <n v="9388000"/>
    <x v="5"/>
  </r>
  <r>
    <d v="2021-11-03T00:00:00"/>
    <x v="2"/>
    <s v="TIFFANY - TTP"/>
    <x v="260"/>
    <s v="60077273"/>
    <s v="000000P105000000303"/>
    <n v="1"/>
    <n v="56865000"/>
    <x v="5"/>
  </r>
  <r>
    <d v="2021-11-04T00:00:00"/>
    <x v="1"/>
    <s v="TIFFANY - TTP"/>
    <x v="261"/>
    <s v="MC0000000421"/>
    <s v="000000P105000000304"/>
    <n v="1"/>
    <n v="6951000"/>
    <x v="5"/>
  </r>
  <r>
    <d v="2021-11-06T00:00:00"/>
    <x v="1"/>
    <s v="TIFFANY - TTP"/>
    <x v="262"/>
    <s v="60082027"/>
    <s v="000000P105000000307"/>
    <n v="1"/>
    <n v="56865000"/>
    <x v="5"/>
  </r>
  <r>
    <d v="2021-11-06T00:00:00"/>
    <x v="2"/>
    <s v="TIFFANY - TTP"/>
    <x v="263"/>
    <s v="MC0000000461"/>
    <s v="000000P105000000308"/>
    <n v="1"/>
    <n v="56865000"/>
    <x v="5"/>
  </r>
  <r>
    <d v="2021-11-06T00:00:00"/>
    <x v="2"/>
    <s v="TIFFANY - TTP"/>
    <x v="264"/>
    <s v="MC0000000461"/>
    <s v="000000P105000000308"/>
    <n v="1"/>
    <n v="48742000"/>
    <x v="5"/>
  </r>
  <r>
    <d v="2021-11-06T00:00:00"/>
    <x v="0"/>
    <s v="TIFFANY - TTP"/>
    <x v="265"/>
    <s v="60073128"/>
    <s v="000000P105000000309"/>
    <n v="1"/>
    <n v="120951000"/>
    <x v="5"/>
  </r>
  <r>
    <d v="2021-11-06T00:00:00"/>
    <x v="0"/>
    <s v="TIFFANY - TTP"/>
    <x v="266"/>
    <s v="60073128"/>
    <s v="000000P105000000309"/>
    <n v="1"/>
    <n v="48742000"/>
    <x v="5"/>
  </r>
  <r>
    <d v="2021-11-06T00:00:00"/>
    <x v="1"/>
    <s v="TIFFANY - TTP"/>
    <x v="267"/>
    <s v="MC0000000477"/>
    <s v="000000P105000000310"/>
    <n v="1"/>
    <n v="11554000"/>
    <x v="5"/>
  </r>
  <r>
    <d v="2021-11-06T00:00:00"/>
    <x v="0"/>
    <s v="TIFFANY - TTP"/>
    <x v="179"/>
    <s v="60062750"/>
    <s v="000000P105000000311"/>
    <n v="1"/>
    <n v="48742000"/>
    <x v="5"/>
  </r>
  <r>
    <d v="2021-11-06T00:00:00"/>
    <x v="0"/>
    <s v="TIFFANY - TTP"/>
    <x v="268"/>
    <s v="60062750"/>
    <s v="000000P105000000311"/>
    <n v="1"/>
    <n v="28884000"/>
    <x v="5"/>
  </r>
  <r>
    <d v="2021-11-06T00:00:00"/>
    <x v="0"/>
    <s v="TIFFANY - TTP"/>
    <x v="146"/>
    <s v="60062750"/>
    <s v="000000P105000000311"/>
    <n v="1"/>
    <n v="26176000"/>
    <x v="5"/>
  </r>
  <r>
    <d v="2021-11-06T00:00:00"/>
    <x v="4"/>
    <s v="TIFFANY - TTP"/>
    <x v="269"/>
    <s v="99000004"/>
    <s v="000000P105000000312"/>
    <n v="1"/>
    <n v="1610268800"/>
    <x v="5"/>
  </r>
  <r>
    <d v="2021-11-10T00:00:00"/>
    <x v="1"/>
    <s v="TIFFANY - TTP"/>
    <x v="218"/>
    <s v="MC0000000532"/>
    <s v="000000P105000000313"/>
    <n v="1"/>
    <n v="6951000"/>
    <x v="5"/>
  </r>
  <r>
    <d v="2021-11-10T00:00:00"/>
    <x v="2"/>
    <s v="TIFFANY - TTP"/>
    <x v="230"/>
    <s v="60064281"/>
    <s v="000000P105000000314"/>
    <n v="1"/>
    <n v="6951000"/>
    <x v="5"/>
  </r>
  <r>
    <d v="2021-11-10T00:00:00"/>
    <x v="1"/>
    <s v="TIFFANY - TTP"/>
    <x v="85"/>
    <s v="23000103"/>
    <s v="000000P105000000315"/>
    <n v="1"/>
    <n v="14713000"/>
    <x v="5"/>
  </r>
  <r>
    <d v="2021-11-11T00:00:00"/>
    <x v="1"/>
    <s v="TIFFANY - TTP"/>
    <x v="123"/>
    <s v="MC0000000547"/>
    <s v="000000P105000000316"/>
    <n v="1"/>
    <n v="26176000"/>
    <x v="5"/>
  </r>
  <r>
    <d v="2021-11-11T00:00:00"/>
    <x v="1"/>
    <s v="TIFFANY - TTP"/>
    <x v="270"/>
    <s v="40000256"/>
    <s v="000000P105000000317"/>
    <n v="1"/>
    <n v="46937000"/>
    <x v="5"/>
  </r>
  <r>
    <d v="2021-11-12T00:00:00"/>
    <x v="1"/>
    <s v="TIFFANY - TTP"/>
    <x v="123"/>
    <s v="MC0000000574"/>
    <s v="000000P105000000318"/>
    <n v="1"/>
    <n v="26176000"/>
    <x v="5"/>
  </r>
  <r>
    <d v="2021-11-12T00:00:00"/>
    <x v="1"/>
    <s v="TIFFANY - TTP"/>
    <x v="123"/>
    <s v="MC0000000574"/>
    <s v="000000P105000000321"/>
    <n v="-1"/>
    <n v="-26176000"/>
    <x v="5"/>
  </r>
  <r>
    <d v="2021-11-12T00:00:00"/>
    <x v="1"/>
    <s v="TIFFANY - TTP"/>
    <x v="123"/>
    <s v="MC0000000574"/>
    <s v="000000P105000000322"/>
    <n v="1"/>
    <n v="26176000"/>
    <x v="5"/>
  </r>
  <r>
    <d v="2021-11-12T00:00:00"/>
    <x v="1"/>
    <s v="TIFFANY - TTP"/>
    <x v="271"/>
    <s v="MC0000000577"/>
    <s v="000000P105000000323"/>
    <n v="1"/>
    <n v="56865000"/>
    <x v="5"/>
  </r>
  <r>
    <d v="2021-11-12T00:00:00"/>
    <x v="0"/>
    <s v="TIFFANY - TTP"/>
    <x v="272"/>
    <s v="20002141"/>
    <s v="000000P105000000324"/>
    <n v="1"/>
    <n v="83041000"/>
    <x v="5"/>
  </r>
  <r>
    <d v="2021-11-13T00:00:00"/>
    <x v="1"/>
    <s v="TIFFANY - TTP"/>
    <x v="232"/>
    <s v="MC0000000597"/>
    <s v="000000P105000000325"/>
    <n v="1"/>
    <n v="10832000"/>
    <x v="5"/>
  </r>
  <r>
    <d v="2021-11-13T00:00:00"/>
    <x v="0"/>
    <s v="TIFFANY - TTP"/>
    <x v="273"/>
    <s v="MC0000000603"/>
    <s v="000000P105000000326"/>
    <n v="1"/>
    <n v="86652000"/>
    <x v="5"/>
  </r>
  <r>
    <d v="2021-11-13T00:00:00"/>
    <x v="0"/>
    <s v="TIFFANY - TTP"/>
    <x v="274"/>
    <s v="MC0000000603"/>
    <s v="000000P105000000326"/>
    <n v="1"/>
    <n v="120951000"/>
    <x v="5"/>
  </r>
  <r>
    <d v="2021-11-13T00:00:00"/>
    <x v="2"/>
    <s v="TIFFANY - TTP"/>
    <x v="65"/>
    <s v="MC0000000602"/>
    <s v="000000P105000000327"/>
    <n v="1"/>
    <n v="48742000"/>
    <x v="5"/>
  </r>
  <r>
    <d v="2021-11-13T00:00:00"/>
    <x v="0"/>
    <s v="TIFFANY - TTP"/>
    <x v="275"/>
    <s v="38000041"/>
    <s v="000000P105000000328"/>
    <n v="1"/>
    <n v="114633000"/>
    <x v="5"/>
  </r>
  <r>
    <d v="2021-11-13T00:00:00"/>
    <x v="0"/>
    <s v="TIFFANY - TTP"/>
    <x v="231"/>
    <s v="38000041"/>
    <s v="000000P105000000328"/>
    <n v="1"/>
    <n v="56865000"/>
    <x v="5"/>
  </r>
  <r>
    <d v="2021-11-14T00:00:00"/>
    <x v="1"/>
    <s v="TIFFANY - TTP"/>
    <x v="276"/>
    <s v="MC0000000637"/>
    <s v="000000P105000000329"/>
    <n v="1"/>
    <n v="25274000"/>
    <x v="5"/>
  </r>
  <r>
    <d v="2021-11-14T00:00:00"/>
    <x v="2"/>
    <s v="TIFFANY - TTP"/>
    <x v="277"/>
    <s v="MC0000000643"/>
    <s v="000000P105000000330"/>
    <n v="1"/>
    <n v="40618000"/>
    <x v="5"/>
  </r>
  <r>
    <d v="2021-11-14T00:00:00"/>
    <x v="2"/>
    <s v="TIFFANY - TTP"/>
    <x v="278"/>
    <s v="MC0000000643"/>
    <s v="000000P105000000330"/>
    <n v="1"/>
    <n v="40618000"/>
    <x v="5"/>
  </r>
  <r>
    <d v="2021-11-14T00:00:00"/>
    <x v="2"/>
    <s v="TIFFANY - TTP"/>
    <x v="279"/>
    <s v="MC0000000654"/>
    <s v="000000P105000000331"/>
    <n v="1"/>
    <n v="97483000"/>
    <x v="5"/>
  </r>
  <r>
    <d v="2021-11-15T00:00:00"/>
    <x v="0"/>
    <s v="TIFFANY - TTP"/>
    <x v="109"/>
    <s v="60063589"/>
    <s v="000000P105000000332"/>
    <n v="1"/>
    <n v="92067000"/>
    <x v="5"/>
  </r>
  <r>
    <d v="2021-11-15T00:00:00"/>
    <x v="0"/>
    <s v="TIFFANY - TTP"/>
    <x v="280"/>
    <s v="60063589"/>
    <s v="000000P105000000332"/>
    <n v="1"/>
    <n v="63184000"/>
    <x v="5"/>
  </r>
  <r>
    <d v="2021-11-15T00:00:00"/>
    <x v="0"/>
    <s v="TIFFANY - TTP"/>
    <x v="149"/>
    <s v="60063589"/>
    <s v="000000P105000000332"/>
    <n v="1"/>
    <n v="9388000"/>
    <x v="5"/>
  </r>
  <r>
    <d v="2021-11-15T00:00:00"/>
    <x v="0"/>
    <s v="TIFFANY - TTP"/>
    <x v="281"/>
    <s v="60063589"/>
    <s v="000000P105000000332"/>
    <n v="1"/>
    <n v="250928000"/>
    <x v="5"/>
  </r>
  <r>
    <d v="2021-11-16T00:00:00"/>
    <x v="5"/>
    <s v="TIFFANY - TTP"/>
    <x v="23"/>
    <s v="60075010"/>
    <s v="000000P105000000333"/>
    <n v="1"/>
    <n v="6951000"/>
    <x v="5"/>
  </r>
  <r>
    <d v="2021-11-16T00:00:00"/>
    <x v="0"/>
    <s v="TIFFANY - TTP"/>
    <x v="282"/>
    <s v="39000072"/>
    <s v="000000P105000000334"/>
    <n v="1"/>
    <n v="106509000"/>
    <x v="5"/>
  </r>
  <r>
    <d v="2021-11-17T00:00:00"/>
    <x v="0"/>
    <s v="TIFFANY - TTP"/>
    <x v="66"/>
    <s v="20001306"/>
    <s v="000000P105000000336"/>
    <n v="1"/>
    <n v="285227000"/>
    <x v="5"/>
  </r>
  <r>
    <d v="2021-11-19T00:00:00"/>
    <x v="2"/>
    <s v="TIFFANY - TTP"/>
    <x v="275"/>
    <s v="MC0000000740"/>
    <s v="000000P105000000339"/>
    <n v="1"/>
    <n v="114633000"/>
    <x v="5"/>
  </r>
  <r>
    <d v="2021-11-19T00:00:00"/>
    <x v="1"/>
    <s v="TIFFANY - TTP"/>
    <x v="139"/>
    <s v="MC0000000745"/>
    <s v="000000P105000000340"/>
    <n v="1"/>
    <n v="65892000"/>
    <x v="5"/>
  </r>
  <r>
    <d v="2021-11-19T00:00:00"/>
    <x v="1"/>
    <s v="TIFFANY - TTP"/>
    <x v="283"/>
    <s v="MC0000000751"/>
    <s v="000000P105000000341"/>
    <n v="1"/>
    <n v="68599000"/>
    <x v="5"/>
  </r>
  <r>
    <d v="2021-11-20T00:00:00"/>
    <x v="2"/>
    <s v="TIFFANY - TTP"/>
    <x v="146"/>
    <s v="MC0000000771"/>
    <s v="000000P105000000342"/>
    <n v="1"/>
    <n v="26176000"/>
    <x v="5"/>
  </r>
  <r>
    <d v="2021-11-20T00:00:00"/>
    <x v="2"/>
    <s v="TIFFANY - TTP"/>
    <x v="284"/>
    <s v="MC0000000771"/>
    <s v="000000P105000000342"/>
    <n v="1"/>
    <n v="65892000"/>
    <x v="5"/>
  </r>
  <r>
    <d v="2021-11-20T00:00:00"/>
    <x v="1"/>
    <s v="TIFFANY - TTP"/>
    <x v="285"/>
    <s v="MC0000000782"/>
    <s v="000000P105000000343"/>
    <n v="1"/>
    <n v="46034000"/>
    <x v="5"/>
  </r>
  <r>
    <d v="2021-11-20T00:00:00"/>
    <x v="1"/>
    <s v="TIFFANY - TTP"/>
    <x v="123"/>
    <s v="MC0000000782"/>
    <s v="000000P105000000344"/>
    <n v="1"/>
    <n v="26176000"/>
    <x v="5"/>
  </r>
  <r>
    <d v="2021-11-20T00:00:00"/>
    <x v="2"/>
    <s v="TIFFANY - TTP"/>
    <x v="230"/>
    <s v="12001422"/>
    <s v="000000P105000000345"/>
    <n v="1"/>
    <n v="6951000"/>
    <x v="5"/>
  </r>
  <r>
    <d v="2021-11-21T00:00:00"/>
    <x v="2"/>
    <s v="TIFFANY - TTP"/>
    <x v="286"/>
    <s v="MC0000000820"/>
    <s v="000000P105000000346"/>
    <n v="1"/>
    <n v="56865000"/>
    <x v="5"/>
  </r>
  <r>
    <d v="2021-11-21T00:00:00"/>
    <x v="2"/>
    <s v="TIFFANY - TTP"/>
    <x v="287"/>
    <s v="MC0000000820"/>
    <s v="000000P105000000346"/>
    <n v="1"/>
    <n v="79431000"/>
    <x v="5"/>
  </r>
  <r>
    <d v="2021-11-22T00:00:00"/>
    <x v="1"/>
    <s v="TIFFANY - TTP"/>
    <x v="40"/>
    <s v="MC0000000839"/>
    <s v="000000P105000000347"/>
    <n v="1"/>
    <n v="9388000"/>
    <x v="5"/>
  </r>
  <r>
    <d v="2021-11-22T00:00:00"/>
    <x v="1"/>
    <s v="TIFFANY - TTP"/>
    <x v="288"/>
    <s v="MC0000000839"/>
    <s v="000000P105000000347"/>
    <n v="1"/>
    <n v="43326000"/>
    <x v="5"/>
  </r>
  <r>
    <d v="2021-11-22T00:00:00"/>
    <x v="1"/>
    <s v="TIFFANY - TTP"/>
    <x v="230"/>
    <s v="MC0000000843"/>
    <s v="000000P105000000348"/>
    <n v="1"/>
    <n v="6951000"/>
    <x v="5"/>
  </r>
  <r>
    <d v="2021-11-22T00:00:00"/>
    <x v="1"/>
    <s v="TIFFANY - TTP"/>
    <x v="289"/>
    <s v="MC0000000850"/>
    <s v="000000P105000000349"/>
    <n v="1"/>
    <n v="63184000"/>
    <x v="5"/>
  </r>
  <r>
    <d v="2021-11-22T00:00:00"/>
    <x v="1"/>
    <s v="TIFFANY - TTP"/>
    <x v="16"/>
    <s v="MC0000000850"/>
    <s v="000000P105000000349"/>
    <n v="1"/>
    <n v="9388000"/>
    <x v="5"/>
  </r>
  <r>
    <d v="2021-11-22T00:00:00"/>
    <x v="1"/>
    <s v="TIFFANY - TTP"/>
    <x v="283"/>
    <s v="MC0000000851"/>
    <s v="000000P105000000350"/>
    <n v="1"/>
    <n v="68599000"/>
    <x v="5"/>
  </r>
  <r>
    <d v="2021-11-22T00:00:00"/>
    <x v="0"/>
    <s v="TIFFANY - TTP"/>
    <x v="290"/>
    <s v="MC0000000858"/>
    <s v="000000P105000000351"/>
    <n v="1"/>
    <n v="388126000"/>
    <x v="5"/>
  </r>
  <r>
    <d v="2021-11-23T00:00:00"/>
    <x v="0"/>
    <s v="TIFFANY - TTP"/>
    <x v="291"/>
    <s v="60065597"/>
    <s v="000000P105000000352"/>
    <n v="1"/>
    <n v="46034000"/>
    <x v="5"/>
  </r>
  <r>
    <d v="2021-11-23T00:00:00"/>
    <x v="0"/>
    <s v="TIFFANY - TTP"/>
    <x v="292"/>
    <s v="60065597"/>
    <s v="000000P105000000352"/>
    <n v="1"/>
    <n v="46034000"/>
    <x v="5"/>
  </r>
  <r>
    <d v="2021-11-23T00:00:00"/>
    <x v="0"/>
    <s v="TIFFANY - TTP"/>
    <x v="293"/>
    <s v="20000850"/>
    <s v="000000P105000000353"/>
    <n v="1"/>
    <n v="6680000"/>
    <x v="5"/>
  </r>
  <r>
    <d v="2021-11-24T00:00:00"/>
    <x v="0"/>
    <s v="TIFFANY - TTP"/>
    <x v="294"/>
    <s v="60085095"/>
    <s v="000000P105000000356"/>
    <n v="1"/>
    <n v="83041000"/>
    <x v="5"/>
  </r>
  <r>
    <d v="2021-11-24T00:00:00"/>
    <x v="0"/>
    <s v="TIFFANY - TTP"/>
    <x v="16"/>
    <s v="60085095"/>
    <s v="000000P105000000356"/>
    <n v="1"/>
    <n v="9388000"/>
    <x v="5"/>
  </r>
  <r>
    <d v="2021-11-25T00:00:00"/>
    <x v="2"/>
    <s v="TIFFANY - TTP"/>
    <x v="295"/>
    <s v="60083454"/>
    <s v="000000P105000000357"/>
    <n v="1"/>
    <n v="48742000"/>
    <x v="5"/>
  </r>
  <r>
    <d v="2021-11-25T00:00:00"/>
    <x v="2"/>
    <s v="TIFFANY - TTP"/>
    <x v="296"/>
    <s v="60083454"/>
    <s v="000000P105000000358"/>
    <n v="1"/>
    <n v="80333000"/>
    <x v="5"/>
  </r>
  <r>
    <d v="2021-11-26T00:00:00"/>
    <x v="1"/>
    <s v="TIFFANY - TTP"/>
    <x v="123"/>
    <s v="MC0000000945"/>
    <s v="000000P105000000359"/>
    <n v="1"/>
    <n v="26176000"/>
    <x v="5"/>
  </r>
  <r>
    <d v="2021-11-26T00:00:00"/>
    <x v="1"/>
    <s v="TIFFANY - TTP"/>
    <x v="297"/>
    <s v="MC0000000950"/>
    <s v="000000P105000000360"/>
    <n v="1"/>
    <n v="60476000"/>
    <x v="5"/>
  </r>
  <r>
    <d v="2021-11-26T00:00:00"/>
    <x v="1"/>
    <s v="TIFFANY - TTP"/>
    <x v="191"/>
    <s v="MC0000000969"/>
    <s v="000000P105000000361"/>
    <n v="1"/>
    <n v="51450000"/>
    <x v="5"/>
  </r>
  <r>
    <d v="2021-11-26T00:00:00"/>
    <x v="1"/>
    <s v="TIFFANY - TTP"/>
    <x v="293"/>
    <s v="04002116"/>
    <s v="000000P105000000362"/>
    <n v="1"/>
    <n v="6680000"/>
    <x v="5"/>
  </r>
  <r>
    <d v="2021-11-26T00:00:00"/>
    <x v="1"/>
    <s v="TIFFANY - TTP"/>
    <x v="128"/>
    <s v="04002116"/>
    <s v="000000P105000000362"/>
    <n v="1"/>
    <n v="8124000"/>
    <x v="5"/>
  </r>
  <r>
    <d v="2021-11-27T00:00:00"/>
    <x v="0"/>
    <s v="TIFFANY - TTP"/>
    <x v="298"/>
    <s v="60073303"/>
    <s v="000000P105000000363"/>
    <n v="1"/>
    <n v="71307000"/>
    <x v="5"/>
  </r>
  <r>
    <d v="2021-11-27T00:00:00"/>
    <x v="1"/>
    <s v="TIFFANY - TTP"/>
    <x v="299"/>
    <s v="MC0000001022"/>
    <s v="000000P105000000364"/>
    <n v="1"/>
    <n v="48742000"/>
    <x v="5"/>
  </r>
  <r>
    <d v="2021-11-27T00:00:00"/>
    <x v="1"/>
    <s v="TIFFANY - TTP"/>
    <x v="300"/>
    <s v="MC0000001035"/>
    <s v="000000P105000000365"/>
    <n v="1"/>
    <n v="27079000"/>
    <x v="5"/>
  </r>
  <r>
    <d v="2021-11-28T00:00:00"/>
    <x v="0"/>
    <s v="TIFFANY - TTP"/>
    <x v="301"/>
    <s v="MC0000001079"/>
    <s v="000000P105000000366"/>
    <n v="1"/>
    <n v="213018000"/>
    <x v="5"/>
  </r>
  <r>
    <d v="2021-11-28T00:00:00"/>
    <x v="0"/>
    <s v="TIFFANY - TTP"/>
    <x v="299"/>
    <s v="27001425"/>
    <s v="000000P105000000368"/>
    <n v="1"/>
    <n v="48742000"/>
    <x v="5"/>
  </r>
  <r>
    <d v="2021-11-29T00:00:00"/>
    <x v="6"/>
    <s v="TIFFANY - TTP"/>
    <x v="302"/>
    <s v="60088498"/>
    <s v="000000P105000000369"/>
    <n v="1"/>
    <n v="11554000"/>
    <x v="5"/>
  </r>
  <r>
    <d v="2021-11-30T00:00:00"/>
    <x v="2"/>
    <s v="TIFFANY - TTP"/>
    <x v="303"/>
    <s v="MC0000001147"/>
    <s v="000000P105000000370"/>
    <n v="1"/>
    <n v="77626000"/>
    <x v="5"/>
  </r>
  <r>
    <d v="2021-11-30T00:00:00"/>
    <x v="1"/>
    <s v="TIFFANY - TTP"/>
    <x v="304"/>
    <s v="MC0000001150"/>
    <s v="000000P105000000371"/>
    <n v="1"/>
    <n v="37910000"/>
    <x v="5"/>
  </r>
  <r>
    <d v="2021-11-30T00:00:00"/>
    <x v="1"/>
    <s v="TIFFANY - TTP"/>
    <x v="259"/>
    <s v="MC0000001157"/>
    <s v="000000P105000000372"/>
    <n v="1"/>
    <n v="6951000"/>
    <x v="5"/>
  </r>
  <r>
    <d v="2021-11-30T00:00:00"/>
    <x v="1"/>
    <s v="TIFFANY - TTP"/>
    <x v="283"/>
    <s v="MC0000001159"/>
    <s v="000000P105000000373"/>
    <n v="1"/>
    <n v="68599000"/>
    <x v="5"/>
  </r>
  <r>
    <d v="2021-11-30T00:00:00"/>
    <x v="2"/>
    <s v="TIFFANY - TTP"/>
    <x v="152"/>
    <s v="MC0000001147"/>
    <s v="000000P105000000374"/>
    <n v="1"/>
    <n v="10832000"/>
    <x v="5"/>
  </r>
  <r>
    <d v="2021-12-01T00:00:00"/>
    <x v="2"/>
    <s v="TIFFANY - TTP"/>
    <x v="305"/>
    <s v="MC0000001165"/>
    <s v="000000P105000000375"/>
    <n v="1"/>
    <n v="76723000"/>
    <x v="6"/>
  </r>
  <r>
    <d v="2021-12-01T00:00:00"/>
    <x v="2"/>
    <s v="TIFFANY - TTP"/>
    <x v="306"/>
    <s v="MC0000001165"/>
    <s v="000000P105000000375"/>
    <n v="1"/>
    <n v="55963000"/>
    <x v="6"/>
  </r>
  <r>
    <d v="2021-12-02T00:00:00"/>
    <x v="0"/>
    <s v="TIFFANY - TTP"/>
    <x v="307"/>
    <s v="MC0000001176"/>
    <s v="000000P105000000376"/>
    <n v="1"/>
    <n v="234681000"/>
    <x v="6"/>
  </r>
  <r>
    <d v="2021-12-02T00:00:00"/>
    <x v="0"/>
    <s v="TIFFANY - TTP"/>
    <x v="308"/>
    <s v="13000017"/>
    <s v="000000P105000000377"/>
    <n v="1"/>
    <n v="27079000"/>
    <x v="6"/>
  </r>
  <r>
    <d v="2021-12-02T00:00:00"/>
    <x v="0"/>
    <s v="TIFFANY - TTP"/>
    <x v="309"/>
    <s v="60063975"/>
    <s v="000000P105000000378"/>
    <n v="1"/>
    <n v="46034000"/>
    <x v="6"/>
  </r>
  <r>
    <d v="2021-12-02T00:00:00"/>
    <x v="0"/>
    <s v="TIFFANY - TTP"/>
    <x v="310"/>
    <s v="MC0000001188"/>
    <s v="000000P105000000379"/>
    <n v="1"/>
    <n v="602949000"/>
    <x v="6"/>
  </r>
  <r>
    <d v="2021-12-04T00:00:00"/>
    <x v="2"/>
    <s v="TIFFANY - TTP"/>
    <x v="60"/>
    <s v="MC0000000127"/>
    <s v="000000P105000000382"/>
    <n v="1"/>
    <n v="43326000"/>
    <x v="6"/>
  </r>
  <r>
    <d v="2021-12-04T00:00:00"/>
    <x v="2"/>
    <s v="TIFFANY - TTP"/>
    <x v="205"/>
    <s v="60062780"/>
    <s v="000000P105000000383"/>
    <n v="1"/>
    <n v="56865000"/>
    <x v="6"/>
  </r>
  <r>
    <d v="2021-12-04T00:00:00"/>
    <x v="1"/>
    <s v="TIFFANY - TTP"/>
    <x v="311"/>
    <s v="MC0000001244"/>
    <s v="000000P105000000384"/>
    <n v="1"/>
    <n v="13630000"/>
    <x v="6"/>
  </r>
  <r>
    <d v="2021-12-04T00:00:00"/>
    <x v="0"/>
    <s v="TIFFANY - TTP"/>
    <x v="54"/>
    <s v="22000398"/>
    <s v="000000P105000000385"/>
    <n v="1"/>
    <n v="55060000"/>
    <x v="6"/>
  </r>
  <r>
    <d v="2021-12-04T00:00:00"/>
    <x v="0"/>
    <s v="TIFFANY - TTP"/>
    <x v="312"/>
    <s v="05002520"/>
    <s v="000000P105000000386"/>
    <n v="1"/>
    <n v="102899000"/>
    <x v="6"/>
  </r>
  <r>
    <d v="2021-12-05T00:00:00"/>
    <x v="1"/>
    <s v="TIFFANY - TTP"/>
    <x v="313"/>
    <s v="MC0000001261"/>
    <s v="000000P105000000387"/>
    <n v="1"/>
    <n v="59573000"/>
    <x v="6"/>
  </r>
  <r>
    <d v="2021-12-05T00:00:00"/>
    <x v="2"/>
    <s v="TIFFANY - TTP"/>
    <x v="314"/>
    <s v="60073476"/>
    <s v="000000P105000000388"/>
    <n v="1"/>
    <n v="6951000"/>
    <x v="6"/>
  </r>
  <r>
    <d v="2021-12-05T00:00:00"/>
    <x v="2"/>
    <s v="TIFFANY - TTP"/>
    <x v="315"/>
    <s v="60073476"/>
    <s v="000000P105000000390"/>
    <n v="1"/>
    <n v="55060000"/>
    <x v="6"/>
  </r>
  <r>
    <d v="2021-12-05T00:00:00"/>
    <x v="2"/>
    <s v="TIFFANY - TTP"/>
    <x v="316"/>
    <s v="60073476"/>
    <s v="000000P105000000391"/>
    <n v="1"/>
    <n v="9388000"/>
    <x v="6"/>
  </r>
  <r>
    <d v="2021-12-05T00:00:00"/>
    <x v="0"/>
    <s v="TIFFANY - TTP"/>
    <x v="317"/>
    <s v="08001361"/>
    <s v="000000P105000000395"/>
    <n v="1"/>
    <n v="162472000"/>
    <x v="6"/>
  </r>
  <r>
    <d v="2021-12-06T00:00:00"/>
    <x v="0"/>
    <s v="TIFFANY - TTP"/>
    <x v="318"/>
    <s v="60067418"/>
    <s v="000000P105000000396"/>
    <n v="1"/>
    <n v="267175000"/>
    <x v="6"/>
  </r>
  <r>
    <d v="2021-12-06T00:00:00"/>
    <x v="0"/>
    <s v="TIFFANY - TTP"/>
    <x v="319"/>
    <s v="60064055"/>
    <s v="000000P105000000397"/>
    <n v="1"/>
    <n v="71307000"/>
    <x v="6"/>
  </r>
  <r>
    <d v="2021-12-06T00:00:00"/>
    <x v="0"/>
    <s v="TIFFANY - TTP"/>
    <x v="320"/>
    <s v="60064055"/>
    <s v="000000P105000000397"/>
    <n v="1"/>
    <n v="2130176000"/>
    <x v="6"/>
  </r>
  <r>
    <d v="2021-12-07T00:00:00"/>
    <x v="2"/>
    <s v="TIFFANY - TTP"/>
    <x v="37"/>
    <s v="MC0000001137"/>
    <s v="000000P105000000398"/>
    <n v="1"/>
    <n v="103801000"/>
    <x v="6"/>
  </r>
  <r>
    <d v="2021-12-07T00:00:00"/>
    <x v="1"/>
    <s v="TIFFANY - TTP"/>
    <x v="321"/>
    <s v="MC0000001337"/>
    <s v="000000P105000000399"/>
    <n v="1"/>
    <n v="6951000"/>
    <x v="6"/>
  </r>
  <r>
    <d v="2021-12-08T00:00:00"/>
    <x v="1"/>
    <s v="TIFFANY - TTP"/>
    <x v="322"/>
    <s v="MC0000001345"/>
    <s v="000000P105000000400"/>
    <n v="1"/>
    <n v="55060000"/>
    <x v="6"/>
  </r>
  <r>
    <d v="2021-12-08T00:00:00"/>
    <x v="2"/>
    <s v="TIFFANY - TTP"/>
    <x v="283"/>
    <s v="MC0000001364"/>
    <s v="000000P105000000401"/>
    <n v="1"/>
    <n v="68599000"/>
    <x v="6"/>
  </r>
  <r>
    <d v="2021-12-09T00:00:00"/>
    <x v="2"/>
    <s v="TIFFANY - TTP"/>
    <x v="209"/>
    <s v="MC0000001370"/>
    <s v="000000P105000000402"/>
    <n v="1"/>
    <n v="92067000"/>
    <x v="6"/>
  </r>
  <r>
    <d v="2021-12-09T00:00:00"/>
    <x v="1"/>
    <s v="TIFFANY - TTP"/>
    <x v="323"/>
    <s v="60084730"/>
    <s v="000000P105000000403"/>
    <n v="1"/>
    <n v="8124000"/>
    <x v="6"/>
  </r>
  <r>
    <d v="2021-12-09T00:00:00"/>
    <x v="1"/>
    <s v="TIFFANY - TTP"/>
    <x v="324"/>
    <s v="MC0000001388"/>
    <s v="000000P105000000404"/>
    <n v="1"/>
    <n v="28884000"/>
    <x v="6"/>
  </r>
  <r>
    <d v="2021-12-09T00:00:00"/>
    <x v="2"/>
    <s v="TIFFANY - TTP"/>
    <x v="325"/>
    <s v="MC0000001390"/>
    <s v="000000P105000000405"/>
    <n v="1"/>
    <n v="125464000"/>
    <x v="6"/>
  </r>
  <r>
    <d v="2021-12-09T00:00:00"/>
    <x v="2"/>
    <s v="TIFFANY - TTP"/>
    <x v="326"/>
    <s v="MC0000001364"/>
    <s v="000000P105000000406"/>
    <n v="1"/>
    <n v="56865000"/>
    <x v="6"/>
  </r>
  <r>
    <d v="2021-12-09T00:00:00"/>
    <x v="1"/>
    <s v="TIFFANY - TTP"/>
    <x v="327"/>
    <s v="MC0000001400"/>
    <s v="000000P105000000407"/>
    <n v="1"/>
    <n v="71307000"/>
    <x v="6"/>
  </r>
  <r>
    <d v="2021-12-10T00:00:00"/>
    <x v="0"/>
    <s v="TIFFANY - TTP"/>
    <x v="328"/>
    <s v="60090971"/>
    <s v="000000P105000000408"/>
    <n v="1"/>
    <n v="7402000"/>
    <x v="6"/>
  </r>
  <r>
    <d v="2021-12-10T00:00:00"/>
    <x v="1"/>
    <s v="TIFFANY - TTP"/>
    <x v="329"/>
    <s v="MC0000001403"/>
    <s v="000000P105000000409"/>
    <n v="1"/>
    <n v="22566000"/>
    <x v="6"/>
  </r>
  <r>
    <d v="2021-12-10T00:00:00"/>
    <x v="1"/>
    <s v="TIFFANY - TTP"/>
    <x v="329"/>
    <s v="MC0000001403"/>
    <s v="000000P105000000410"/>
    <n v="-1"/>
    <n v="-22566000"/>
    <x v="6"/>
  </r>
  <r>
    <d v="2021-12-10T00:00:00"/>
    <x v="1"/>
    <s v="TIFFANY - TTP"/>
    <x v="329"/>
    <s v="MC0000001403"/>
    <s v="000000P105000000411"/>
    <n v="1"/>
    <n v="22566000"/>
    <x v="6"/>
  </r>
  <r>
    <d v="2021-12-11T00:00:00"/>
    <x v="1"/>
    <s v="TIFFANY - TTP"/>
    <x v="330"/>
    <s v="MC0000001433"/>
    <s v="000000P105000000412"/>
    <n v="1"/>
    <n v="13630000"/>
    <x v="6"/>
  </r>
  <r>
    <d v="2021-12-11T00:00:00"/>
    <x v="1"/>
    <s v="TIFFANY - TTP"/>
    <x v="175"/>
    <s v="MC0000001436"/>
    <s v="000000P105000000413"/>
    <n v="1"/>
    <n v="6951000"/>
    <x v="6"/>
  </r>
  <r>
    <d v="2021-12-11T00:00:00"/>
    <x v="1"/>
    <s v="TIFFANY - TTP"/>
    <x v="331"/>
    <s v="05001228"/>
    <s v="000000P105000000414"/>
    <n v="1"/>
    <n v="29787000"/>
    <x v="6"/>
  </r>
  <r>
    <d v="2021-12-11T00:00:00"/>
    <x v="1"/>
    <s v="TIFFANY - TTP"/>
    <x v="332"/>
    <s v="MC0000001441"/>
    <s v="000000P105000000415"/>
    <n v="1"/>
    <n v="31592000"/>
    <x v="6"/>
  </r>
  <r>
    <d v="2021-12-11T00:00:00"/>
    <x v="1"/>
    <s v="TIFFANY - TTP"/>
    <x v="219"/>
    <s v="MC0000001443"/>
    <s v="000000P105000000416"/>
    <n v="1"/>
    <n v="60476000"/>
    <x v="6"/>
  </r>
  <r>
    <d v="2021-12-11T00:00:00"/>
    <x v="1"/>
    <s v="TIFFANY - TTP"/>
    <x v="333"/>
    <s v="MC0000001445"/>
    <s v="000000P105000000417"/>
    <n v="1"/>
    <n v="56865000"/>
    <x v="6"/>
  </r>
  <r>
    <d v="2021-12-11T00:00:00"/>
    <x v="1"/>
    <s v="TIFFANY - TTP"/>
    <x v="129"/>
    <s v="MC0000001450"/>
    <s v="000000P105000000418"/>
    <n v="1"/>
    <n v="7763000"/>
    <x v="6"/>
  </r>
  <r>
    <d v="2021-12-11T00:00:00"/>
    <x v="1"/>
    <s v="TIFFANY - TTP"/>
    <x v="79"/>
    <s v="MC0000001455"/>
    <s v="000000P105000000419"/>
    <n v="1"/>
    <n v="55060000"/>
    <x v="6"/>
  </r>
  <r>
    <d v="2021-12-11T00:00:00"/>
    <x v="1"/>
    <s v="TIFFANY - TTP"/>
    <x v="219"/>
    <s v="MC0000001443"/>
    <s v="000000P105000000422"/>
    <n v="-1"/>
    <n v="-60476000"/>
    <x v="6"/>
  </r>
  <r>
    <d v="2021-12-11T00:00:00"/>
    <x v="1"/>
    <s v="TIFFANY - TTP"/>
    <x v="129"/>
    <s v="13000850"/>
    <s v="000000P105000000423"/>
    <n v="1"/>
    <n v="7763000"/>
    <x v="6"/>
  </r>
  <r>
    <d v="2021-12-11T00:00:00"/>
    <x v="1"/>
    <s v="TIFFANY - TTP"/>
    <x v="219"/>
    <s v="MC0000001443"/>
    <s v="000000P105000000424"/>
    <n v="1"/>
    <n v="60476000"/>
    <x v="6"/>
  </r>
  <r>
    <d v="2021-12-12T00:00:00"/>
    <x v="0"/>
    <s v="TIFFANY - TTP"/>
    <x v="36"/>
    <s v="07002811"/>
    <s v="000000P105000000425"/>
    <n v="1"/>
    <n v="55060000"/>
    <x v="6"/>
  </r>
  <r>
    <d v="2021-12-12T00:00:00"/>
    <x v="1"/>
    <s v="TIFFANY - TTP"/>
    <x v="123"/>
    <s v="MC0000001486"/>
    <s v="000000P105000000426"/>
    <n v="1"/>
    <n v="26176000"/>
    <x v="6"/>
  </r>
  <r>
    <d v="2021-12-12T00:00:00"/>
    <x v="1"/>
    <s v="TIFFANY - TTP"/>
    <x v="334"/>
    <s v="60091157"/>
    <s v="000000P105000000427"/>
    <n v="1"/>
    <n v="56865000"/>
    <x v="6"/>
  </r>
  <r>
    <d v="2021-12-12T00:00:00"/>
    <x v="1"/>
    <s v="TIFFANY - TTP"/>
    <x v="335"/>
    <s v="MC0000001501"/>
    <s v="000000P105000000428"/>
    <n v="1"/>
    <n v="60476000"/>
    <x v="6"/>
  </r>
  <r>
    <d v="2021-12-12T00:00:00"/>
    <x v="1"/>
    <s v="TIFFANY - TTP"/>
    <x v="201"/>
    <s v="60091158"/>
    <s v="000000P105000000429"/>
    <n v="1"/>
    <n v="13179000"/>
    <x v="6"/>
  </r>
  <r>
    <d v="2021-12-13T00:00:00"/>
    <x v="1"/>
    <s v="TIFFANY - TTP"/>
    <x v="321"/>
    <s v="MC0000001522"/>
    <s v="000000P105000000431"/>
    <n v="1"/>
    <n v="6951000"/>
    <x v="6"/>
  </r>
  <r>
    <d v="2021-12-13T00:00:00"/>
    <x v="1"/>
    <s v="TIFFANY - TTP"/>
    <x v="336"/>
    <s v="MC0000001536"/>
    <s v="000000P105000000432"/>
    <n v="1"/>
    <n v="7763000"/>
    <x v="6"/>
  </r>
  <r>
    <d v="2021-12-13T00:00:00"/>
    <x v="1"/>
    <s v="TIFFANY - TTP"/>
    <x v="227"/>
    <s v="MC0000001536"/>
    <s v="000000P105000000432"/>
    <n v="1"/>
    <n v="13179000"/>
    <x v="6"/>
  </r>
  <r>
    <d v="2021-12-14T00:00:00"/>
    <x v="5"/>
    <s v="TIFFANY - TTP"/>
    <x v="337"/>
    <s v="MC0000001558"/>
    <s v="000000P105000000433"/>
    <n v="1"/>
    <n v="17963000"/>
    <x v="6"/>
  </r>
  <r>
    <d v="2021-12-15T00:00:00"/>
    <x v="5"/>
    <s v="TIFFANY - TTP"/>
    <x v="72"/>
    <s v="MC0000001568"/>
    <s v="000000P105000000434"/>
    <n v="1"/>
    <n v="26176000"/>
    <x v="6"/>
  </r>
  <r>
    <d v="2021-12-15T00:00:00"/>
    <x v="0"/>
    <s v="TIFFANY - TTP"/>
    <x v="338"/>
    <s v="23000715"/>
    <s v="000000P105000000435"/>
    <n v="1"/>
    <n v="4097881000"/>
    <x v="6"/>
  </r>
  <r>
    <d v="2021-12-15T00:00:00"/>
    <x v="5"/>
    <s v="TIFFANY - TTP"/>
    <x v="314"/>
    <s v="MC0000001591"/>
    <s v="000000P105000000436"/>
    <n v="1"/>
    <n v="6951000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8" minRefreshableVersion="3" createdVersion="4" useAutoFormatting="1" indent="0" outline="1" outlineData="1" showDrill="1" multipleFieldFilters="0" chartFormat="7">
  <location ref="A3:B5" firstHeaderRow="1" firstDataRow="1" firstDataCol="1"/>
  <pivotFields count="9">
    <pivotField numFmtId="58" showAll="0"/>
    <pivotField axis="axisRow" showAll="0">
      <items count="8">
        <item h="1" x="4"/>
        <item h="1" x="2"/>
        <item x="1"/>
        <item h="1" x="5"/>
        <item h="1" x="0"/>
        <item h="1" x="6"/>
        <item h="1" x="3"/>
        <item t="default"/>
      </items>
    </pivotField>
    <pivotField showAll="0"/>
    <pivotField showAll="0"/>
    <pivotField showAll="0"/>
    <pivotField showAll="0"/>
    <pivotField numFmtId="3" showAll="0"/>
    <pivotField dataField="1" numFmtId="3" showAll="0"/>
    <pivotField showAll="0">
      <items count="15">
        <item h="1" m="1" x="7"/>
        <item h="1" m="1" x="8"/>
        <item h="1" m="1" x="9"/>
        <item h="1" m="1" x="10"/>
        <item h="1" m="1" x="11"/>
        <item h="1" m="1" x="12"/>
        <item h="1" m="1" x="13"/>
        <item h="1" x="4"/>
        <item h="1" x="5"/>
        <item h="1" x="6"/>
        <item h="1" x="0"/>
        <item x="1"/>
        <item h="1" x="2"/>
        <item h="1" x="3"/>
        <item t="default"/>
      </items>
    </pivotField>
  </pivotFields>
  <rowFields count="1">
    <field x="1"/>
  </rowFields>
  <rowItems count="2">
    <i>
      <x v="2"/>
    </i>
    <i t="grand">
      <x/>
    </i>
  </rowItems>
  <colItems count="1">
    <i/>
  </colItems>
  <dataFields count="1">
    <dataField name="Sum of Sales Amt" fld="7" baseField="0" baseItem="0"/>
  </dataFields>
  <formats count="1">
    <format dxfId="0">
      <pivotArea collapsedLevelsAreSubtotals="1" fieldPosition="0">
        <references count="1">
          <reference field="1" count="0"/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8" minRefreshableVersion="3" createdVersion="4" useAutoFormatting="1" indent="0" outline="1" outlineData="1" showDrill="1" multipleFieldFilters="0" chartFormat="10">
  <location ref="A3:B5" firstHeaderRow="1" firstDataRow="1" firstDataCol="1"/>
  <pivotFields count="9">
    <pivotField numFmtId="58" showAll="0"/>
    <pivotField showAll="0">
      <items count="8">
        <item h="1" x="4"/>
        <item h="1" x="2"/>
        <item x="1"/>
        <item h="1" x="5"/>
        <item h="1" x="0"/>
        <item h="1" x="6"/>
        <item h="1" x="3"/>
        <item t="default"/>
      </items>
    </pivotField>
    <pivotField showAll="0"/>
    <pivotField showAll="0"/>
    <pivotField showAll="0"/>
    <pivotField showAll="0"/>
    <pivotField numFmtId="3" showAll="0"/>
    <pivotField dataField="1" numFmtId="3" showAll="0"/>
    <pivotField axis="axisRow" showAll="0">
      <items count="15">
        <item h="1" m="1" x="7"/>
        <item h="1" m="1" x="8"/>
        <item h="1" m="1" x="9"/>
        <item h="1" m="1" x="10"/>
        <item h="1" m="1" x="11"/>
        <item h="1" m="1" x="12"/>
        <item h="1" m="1" x="13"/>
        <item h="1" x="0"/>
        <item x="1"/>
        <item h="1" x="2"/>
        <item h="1" x="3"/>
        <item h="1" x="4"/>
        <item h="1" x="5"/>
        <item h="1" x="6"/>
        <item t="default"/>
      </items>
    </pivotField>
  </pivotFields>
  <rowFields count="1">
    <field x="8"/>
  </rowFields>
  <rowItems count="2">
    <i>
      <x v="8"/>
    </i>
    <i t="grand">
      <x/>
    </i>
  </rowItems>
  <colItems count="1">
    <i/>
  </colItems>
  <dataFields count="1">
    <dataField name="Sum of Sales Amt" fld="7" baseField="0" baseItem="0" numFmtId="177"/>
  </dataFields>
  <formats count="1">
    <format dxfId="1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4" useAutoFormatting="1" compact="0" indent="0" compactData="0" showDrill="1" multipleFieldFilters="0">
  <location ref="A3:C390" firstHeaderRow="1" firstDataRow="1" firstDataCol="2"/>
  <pivotFields count="9">
    <pivotField compact="0" defaultSubtotal="0" outline="0" numFmtId="58" showAll="0"/>
    <pivotField compact="0" defaultSubtotal="0" outline="0" showAll="0"/>
    <pivotField compact="0" defaultSubtotal="0" outline="0" showAll="0"/>
    <pivotField compact="0" defaultSubtotal="0" outline="0" showAll="0">
      <items count="339">
        <item x="272"/>
        <item x="191"/>
        <item x="108"/>
        <item x="39"/>
        <item x="79"/>
        <item x="168"/>
        <item x="252"/>
        <item x="270"/>
        <item x="3"/>
        <item x="211"/>
        <item x="289"/>
        <item x="294"/>
        <item x="239"/>
        <item x="95"/>
        <item x="209"/>
        <item x="82"/>
        <item x="262"/>
        <item x="260"/>
        <item x="255"/>
        <item x="34"/>
        <item x="286"/>
        <item x="271"/>
        <item x="333"/>
        <item x="265"/>
        <item x="313"/>
        <item x="24"/>
        <item x="192"/>
        <item x="56"/>
        <item x="188"/>
        <item x="283"/>
        <item x="202"/>
        <item x="303"/>
        <item x="204"/>
        <item x="275"/>
        <item x="296"/>
        <item x="106"/>
        <item x="194"/>
        <item x="134"/>
        <item x="231"/>
        <item x="11"/>
        <item x="326"/>
        <item x="205"/>
        <item x="169"/>
        <item x="304"/>
        <item x="21"/>
        <item x="208"/>
        <item x="1"/>
        <item x="257"/>
        <item x="116"/>
        <item x="138"/>
        <item x="295"/>
        <item x="299"/>
        <item x="179"/>
        <item x="20"/>
        <item x="65"/>
        <item x="52"/>
        <item x="200"/>
        <item x="59"/>
        <item x="53"/>
        <item x="15"/>
        <item x="332"/>
        <item x="93"/>
        <item x="70"/>
        <item x="58"/>
        <item x="36"/>
        <item x="297"/>
        <item x="219"/>
        <item x="291"/>
        <item x="285"/>
        <item x="122"/>
        <item x="181"/>
        <item x="88"/>
        <item x="222"/>
        <item x="114"/>
        <item x="335"/>
        <item x="73"/>
        <item x="74"/>
        <item x="292"/>
        <item x="309"/>
        <item x="207"/>
        <item x="16"/>
        <item x="40"/>
        <item x="48"/>
        <item x="288"/>
        <item x="50"/>
        <item x="47"/>
        <item x="33"/>
        <item x="35"/>
        <item x="61"/>
        <item x="123"/>
        <item x="62"/>
        <item x="213"/>
        <item x="4"/>
        <item x="268"/>
        <item x="5"/>
        <item x="266"/>
        <item x="206"/>
        <item x="14"/>
        <item x="130"/>
        <item x="273"/>
        <item x="166"/>
        <item x="242"/>
        <item x="182"/>
        <item x="249"/>
        <item x="180"/>
        <item x="250"/>
        <item x="131"/>
        <item x="57"/>
        <item x="99"/>
        <item x="37"/>
        <item x="225"/>
        <item x="258"/>
        <item x="324"/>
        <item x="151"/>
        <item x="203"/>
        <item x="22"/>
        <item x="42"/>
        <item x="155"/>
        <item x="156"/>
        <item x="64"/>
        <item x="287"/>
        <item x="67"/>
        <item x="41"/>
        <item x="12"/>
        <item x="277"/>
        <item x="278"/>
        <item x="170"/>
        <item x="164"/>
        <item x="135"/>
        <item x="165"/>
        <item x="54"/>
        <item x="75"/>
        <item x="254"/>
        <item x="274"/>
        <item x="214"/>
        <item x="66"/>
        <item x="160"/>
        <item x="32"/>
        <item x="43"/>
        <item x="44"/>
        <item x="83"/>
        <item x="145"/>
        <item x="104"/>
        <item x="189"/>
        <item x="229"/>
        <item x="6"/>
        <item x="190"/>
        <item x="263"/>
        <item x="247"/>
        <item x="248"/>
        <item x="154"/>
        <item x="13"/>
        <item x="244"/>
        <item x="316"/>
        <item x="72"/>
        <item x="264"/>
        <item x="112"/>
        <item x="101"/>
        <item x="113"/>
        <item x="102"/>
        <item x="91"/>
        <item x="19"/>
        <item x="315"/>
        <item x="195"/>
        <item x="253"/>
        <item x="236"/>
        <item x="212"/>
        <item x="269"/>
        <item x="109"/>
        <item x="329"/>
        <item x="280"/>
        <item x="322"/>
        <item x="147"/>
        <item x="331"/>
        <item x="80"/>
        <item x="87"/>
        <item x="125"/>
        <item x="167"/>
        <item x="148"/>
        <item x="334"/>
        <item x="46"/>
        <item x="223"/>
        <item x="141"/>
        <item x="220"/>
        <item x="337"/>
        <item x="183"/>
        <item x="150"/>
        <item x="196"/>
        <item x="81"/>
        <item x="149"/>
        <item x="51"/>
        <item x="126"/>
        <item x="146"/>
        <item x="284"/>
        <item x="139"/>
        <item x="140"/>
        <item x="136"/>
        <item x="293"/>
        <item x="153"/>
        <item x="174"/>
        <item x="119"/>
        <item x="184"/>
        <item x="17"/>
        <item x="127"/>
        <item x="49"/>
        <item x="328"/>
        <item x="84"/>
        <item x="63"/>
        <item x="92"/>
        <item x="215"/>
        <item x="120"/>
        <item x="237"/>
        <item x="94"/>
        <item x="216"/>
        <item x="143"/>
        <item x="226"/>
        <item x="176"/>
        <item x="279"/>
        <item x="234"/>
        <item x="171"/>
        <item x="245"/>
        <item x="246"/>
        <item x="137"/>
        <item x="298"/>
        <item x="319"/>
        <item x="327"/>
        <item x="317"/>
        <item x="142"/>
        <item x="281"/>
        <item x="68"/>
        <item x="305"/>
        <item x="301"/>
        <item x="238"/>
        <item x="233"/>
        <item x="310"/>
        <item x="133"/>
        <item x="320"/>
        <item x="338"/>
        <item x="312"/>
        <item x="325"/>
        <item x="217"/>
        <item x="307"/>
        <item x="241"/>
        <item x="117"/>
        <item x="290"/>
        <item x="243"/>
        <item x="121"/>
        <item x="107"/>
        <item x="318"/>
        <item x="124"/>
        <item x="69"/>
        <item x="282"/>
        <item x="177"/>
        <item x="306"/>
        <item x="96"/>
        <item x="97"/>
        <item x="30"/>
        <item x="55"/>
        <item x="251"/>
        <item x="29"/>
        <item x="28"/>
        <item x="261"/>
        <item x="132"/>
        <item x="172"/>
        <item x="23"/>
        <item x="86"/>
        <item x="7"/>
        <item x="90"/>
        <item x="240"/>
        <item x="330"/>
        <item x="311"/>
        <item x="103"/>
        <item x="321"/>
        <item x="323"/>
        <item x="128"/>
        <item x="76"/>
        <item x="224"/>
        <item x="31"/>
        <item x="157"/>
        <item x="158"/>
        <item x="159"/>
        <item x="25"/>
        <item x="197"/>
        <item x="221"/>
        <item x="187"/>
        <item x="173"/>
        <item x="144"/>
        <item x="308"/>
        <item x="300"/>
        <item x="302"/>
        <item x="267"/>
        <item x="256"/>
        <item x="18"/>
        <item x="235"/>
        <item x="129"/>
        <item x="210"/>
        <item x="98"/>
        <item x="105"/>
        <item x="175"/>
        <item x="230"/>
        <item x="2"/>
        <item x="115"/>
        <item x="152"/>
        <item x="161"/>
        <item x="336"/>
        <item x="71"/>
        <item x="38"/>
        <item x="9"/>
        <item x="8"/>
        <item x="185"/>
        <item x="314"/>
        <item x="10"/>
        <item x="162"/>
        <item x="0"/>
        <item x="201"/>
        <item x="227"/>
        <item x="178"/>
        <item x="45"/>
        <item x="89"/>
        <item x="259"/>
        <item x="111"/>
        <item x="110"/>
        <item x="228"/>
        <item x="163"/>
        <item x="100"/>
        <item x="85"/>
        <item x="198"/>
        <item x="276"/>
        <item x="193"/>
        <item x="199"/>
        <item x="232"/>
        <item x="186"/>
        <item x="218"/>
        <item x="60"/>
        <item x="118"/>
        <item x="77"/>
        <item x="78"/>
        <item x="26"/>
        <item x="27"/>
      </items>
    </pivotField>
    <pivotField compact="0" defaultSubtotal="0" outline="0" showAll="0">
      <items count="339">
        <item x="165"/>
        <item x="286"/>
        <item x="48"/>
        <item x="321"/>
        <item x="212"/>
        <item x="84"/>
        <item x="305"/>
        <item x="18"/>
        <item x="238"/>
        <item x="328"/>
        <item x="97"/>
        <item x="186"/>
        <item x="233"/>
        <item x="33"/>
        <item x="222"/>
        <item x="169"/>
        <item x="59"/>
        <item x="46"/>
        <item x="273"/>
        <item x="299"/>
        <item x="45"/>
        <item x="47"/>
        <item x="167"/>
        <item x="327"/>
        <item x="213"/>
        <item x="197"/>
        <item x="171"/>
        <item x="218"/>
        <item x="77"/>
        <item x="192"/>
        <item x="166"/>
        <item x="55"/>
        <item x="281"/>
        <item x="112"/>
        <item x="240"/>
        <item x="29"/>
        <item x="214"/>
        <item x="73"/>
        <item x="27"/>
        <item x="34"/>
        <item x="189"/>
        <item x="254"/>
        <item x="215"/>
        <item x="337"/>
        <item x="17"/>
        <item x="231"/>
        <item x="38"/>
        <item x="229"/>
        <item x="142"/>
        <item x="182"/>
        <item x="115"/>
        <item x="128"/>
        <item x="202"/>
        <item x="120"/>
        <item x="106"/>
        <item x="188"/>
        <item x="175"/>
        <item x="2"/>
        <item x="199"/>
        <item x="291"/>
        <item x="9"/>
        <item x="262"/>
        <item x="42"/>
        <item x="256"/>
        <item x="157"/>
        <item x="78"/>
        <item x="174"/>
        <item x="250"/>
        <item x="303"/>
        <item x="134"/>
        <item x="266"/>
        <item x="300"/>
        <item x="109"/>
        <item x="308"/>
        <item x="253"/>
        <item x="122"/>
        <item x="183"/>
        <item x="280"/>
        <item x="76"/>
        <item x="155"/>
        <item x="228"/>
        <item x="102"/>
        <item x="225"/>
        <item x="40"/>
        <item x="248"/>
        <item x="4"/>
        <item x="287"/>
        <item x="127"/>
        <item x="307"/>
        <item x="15"/>
        <item x="11"/>
        <item x="267"/>
        <item x="85"/>
        <item x="244"/>
        <item x="219"/>
        <item x="124"/>
        <item x="194"/>
        <item x="242"/>
        <item x="170"/>
        <item x="161"/>
        <item x="232"/>
        <item x="51"/>
        <item x="104"/>
        <item x="113"/>
        <item x="98"/>
        <item x="0"/>
        <item x="10"/>
        <item x="68"/>
        <item x="237"/>
        <item x="141"/>
        <item x="207"/>
        <item x="57"/>
        <item x="198"/>
        <item x="239"/>
        <item x="50"/>
        <item x="246"/>
        <item x="1"/>
        <item x="114"/>
        <item x="282"/>
        <item x="3"/>
        <item x="211"/>
        <item x="5"/>
        <item x="12"/>
        <item x="13"/>
        <item x="8"/>
        <item x="7"/>
        <item x="16"/>
        <item x="20"/>
        <item x="21"/>
        <item x="22"/>
        <item x="23"/>
        <item x="26"/>
        <item x="24"/>
        <item x="25"/>
        <item x="28"/>
        <item x="30"/>
        <item x="31"/>
        <item x="32"/>
        <item x="35"/>
        <item x="41"/>
        <item x="37"/>
        <item x="36"/>
        <item x="44"/>
        <item x="49"/>
        <item x="52"/>
        <item x="53"/>
        <item x="54"/>
        <item x="56"/>
        <item x="58"/>
        <item x="60"/>
        <item x="61"/>
        <item x="63"/>
        <item x="64"/>
        <item x="65"/>
        <item x="66"/>
        <item x="67"/>
        <item x="69"/>
        <item x="70"/>
        <item x="71"/>
        <item x="72"/>
        <item x="74"/>
        <item x="75"/>
        <item x="79"/>
        <item x="80"/>
        <item x="81"/>
        <item x="82"/>
        <item x="83"/>
        <item x="86"/>
        <item x="87"/>
        <item x="88"/>
        <item x="89"/>
        <item x="90"/>
        <item x="91"/>
        <item x="92"/>
        <item x="93"/>
        <item x="94"/>
        <item x="95"/>
        <item x="96"/>
        <item x="99"/>
        <item x="101"/>
        <item x="103"/>
        <item x="105"/>
        <item x="107"/>
        <item x="108"/>
        <item x="110"/>
        <item x="111"/>
        <item x="116"/>
        <item x="117"/>
        <item x="118"/>
        <item x="119"/>
        <item x="121"/>
        <item x="123"/>
        <item x="125"/>
        <item x="126"/>
        <item x="129"/>
        <item x="130"/>
        <item x="131"/>
        <item x="132"/>
        <item x="133"/>
        <item x="135"/>
        <item x="136"/>
        <item x="137"/>
        <item x="153"/>
        <item x="154"/>
        <item x="152"/>
        <item x="151"/>
        <item x="147"/>
        <item x="146"/>
        <item x="145"/>
        <item x="144"/>
        <item x="143"/>
        <item x="140"/>
        <item x="139"/>
        <item x="138"/>
        <item x="292"/>
        <item x="14"/>
        <item x="176"/>
        <item x="164"/>
        <item x="317"/>
        <item x="221"/>
        <item x="330"/>
        <item x="332"/>
        <item x="251"/>
        <item x="62"/>
        <item x="19"/>
        <item x="43"/>
        <item x="187"/>
        <item x="149"/>
        <item x="208"/>
        <item x="6"/>
        <item x="234"/>
        <item x="148"/>
        <item x="150"/>
        <item x="156"/>
        <item x="158"/>
        <item x="159"/>
        <item x="160"/>
        <item x="162"/>
        <item x="163"/>
        <item x="168"/>
        <item x="172"/>
        <item x="173"/>
        <item x="181"/>
        <item x="177"/>
        <item x="178"/>
        <item x="302"/>
        <item x="179"/>
        <item x="180"/>
        <item x="184"/>
        <item x="185"/>
        <item x="190"/>
        <item x="191"/>
        <item x="193"/>
        <item x="195"/>
        <item x="196"/>
        <item x="200"/>
        <item x="203"/>
        <item x="201"/>
        <item x="204"/>
        <item x="205"/>
        <item x="206"/>
        <item x="209"/>
        <item x="210"/>
        <item x="216"/>
        <item x="217"/>
        <item x="220"/>
        <item x="223"/>
        <item x="224"/>
        <item x="226"/>
        <item x="227"/>
        <item x="230"/>
        <item x="235"/>
        <item x="236"/>
        <item x="241"/>
        <item x="243"/>
        <item x="245"/>
        <item x="247"/>
        <item x="249"/>
        <item x="252"/>
        <item x="255"/>
        <item x="257"/>
        <item x="258"/>
        <item x="259"/>
        <item x="261"/>
        <item x="260"/>
        <item x="263"/>
        <item x="264"/>
        <item x="265"/>
        <item x="268"/>
        <item x="269"/>
        <item x="270"/>
        <item x="271"/>
        <item x="272"/>
        <item x="274"/>
        <item x="275"/>
        <item x="276"/>
        <item x="277"/>
        <item x="278"/>
        <item x="279"/>
        <item x="283"/>
        <item x="284"/>
        <item x="285"/>
        <item x="288"/>
        <item x="289"/>
        <item x="290"/>
        <item x="309"/>
        <item x="293"/>
        <item x="294"/>
        <item x="295"/>
        <item x="296"/>
        <item x="297"/>
        <item x="298"/>
        <item x="301"/>
        <item x="304"/>
        <item x="306"/>
        <item x="310"/>
        <item x="311"/>
        <item x="312"/>
        <item x="313"/>
        <item x="314"/>
        <item x="315"/>
        <item x="316"/>
        <item x="318"/>
        <item x="319"/>
        <item x="320"/>
        <item x="322"/>
        <item x="323"/>
        <item x="324"/>
        <item x="325"/>
        <item x="326"/>
        <item x="329"/>
        <item x="331"/>
        <item x="333"/>
        <item x="334"/>
        <item x="335"/>
        <item x="336"/>
        <item x="338"/>
        <item x="100"/>
        <item x="39"/>
      </items>
    </pivotField>
    <pivotField axis="axisRow" compact="0" defaultSubtotal="0" outline="0" showAll="0">
      <items count="3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</items>
    </pivotField>
    <pivotField axis="axisRow" compact="0" defaultSubtotal="0" outline="0" numFmtId="3" showAll="0">
      <items count="2">
        <item x="1"/>
        <item x="0"/>
      </items>
    </pivotField>
    <pivotField compact="0" defaultSubtotal="0" outline="0" numFmtId="3" showAll="0"/>
    <pivotField dataField="1" compact="0" defaultSubtotal="0" outline="0" numFmtId="3" showAll="0"/>
  </pivotFields>
  <rowFields count="2">
    <field x="5"/>
    <field x="6"/>
  </rowFields>
  <rowItems count="387">
    <i>
      <x/>
      <x v="1"/>
    </i>
    <i>
      <x v="1"/>
      <x v="1"/>
    </i>
    <i>
      <x v="2"/>
      <x v="1"/>
    </i>
    <i>
      <x v="3"/>
      <x v="1"/>
    </i>
    <i>
      <x v="4"/>
      <x v="1"/>
    </i>
    <i>
      <x v="5"/>
      <x v="1"/>
    </i>
    <i>
      <x v="6"/>
      <x v="1"/>
    </i>
    <i>
      <x v="7"/>
      <x v="1"/>
    </i>
    <i>
      <x v="8"/>
      <x/>
    </i>
    <i>
      <x v="9"/>
      <x/>
    </i>
    <i>
      <x v="10"/>
      <x v="1"/>
    </i>
    <i>
      <x v="11"/>
      <x v="1"/>
    </i>
    <i>
      <x v="12"/>
      <x v="1"/>
    </i>
    <i>
      <x v="13"/>
      <x v="1"/>
    </i>
    <i>
      <x v="14"/>
      <x v="1"/>
    </i>
    <i>
      <x v="15"/>
      <x v="1"/>
    </i>
    <i>
      <x v="16"/>
      <x v="1"/>
    </i>
    <i>
      <x v="17"/>
      <x v="1"/>
    </i>
    <i>
      <x v="18"/>
      <x v="1"/>
    </i>
    <i>
      <x v="19"/>
      <x v="1"/>
    </i>
    <i>
      <x v="20"/>
      <x v="1"/>
    </i>
    <i>
      <x v="21"/>
      <x v="1"/>
    </i>
    <i>
      <x v="22"/>
      <x v="1"/>
    </i>
    <i>
      <x v="23"/>
      <x v="1"/>
    </i>
    <i>
      <x v="24"/>
      <x v="1"/>
    </i>
    <i>
      <x v="25"/>
      <x v="1"/>
    </i>
    <i>
      <x v="26"/>
      <x v="1"/>
    </i>
    <i>
      <x v="27"/>
      <x v="1"/>
    </i>
    <i>
      <x v="28"/>
      <x v="1"/>
    </i>
    <i>
      <x v="29"/>
      <x v="1"/>
    </i>
    <i>
      <x v="30"/>
      <x v="1"/>
    </i>
    <i>
      <x v="31"/>
      <x v="1"/>
    </i>
    <i>
      <x v="32"/>
      <x v="1"/>
    </i>
    <i>
      <x v="33"/>
      <x v="1"/>
    </i>
    <i>
      <x v="34"/>
      <x v="1"/>
    </i>
    <i>
      <x v="35"/>
      <x v="1"/>
    </i>
    <i>
      <x v="36"/>
      <x v="1"/>
    </i>
    <i>
      <x v="37"/>
      <x v="1"/>
    </i>
    <i>
      <x v="38"/>
      <x v="1"/>
    </i>
    <i>
      <x v="39"/>
      <x v="1"/>
    </i>
    <i>
      <x v="40"/>
      <x v="1"/>
    </i>
    <i>
      <x v="41"/>
      <x v="1"/>
    </i>
    <i>
      <x v="42"/>
      <x v="1"/>
    </i>
    <i>
      <x v="43"/>
      <x v="1"/>
    </i>
    <i>
      <x v="44"/>
      <x v="1"/>
    </i>
    <i>
      <x v="45"/>
      <x v="1"/>
    </i>
    <i>
      <x v="46"/>
      <x v="1"/>
    </i>
    <i>
      <x v="47"/>
      <x v="1"/>
    </i>
    <i>
      <x v="48"/>
      <x v="1"/>
    </i>
    <i>
      <x v="49"/>
      <x v="1"/>
    </i>
    <i>
      <x v="50"/>
      <x v="1"/>
    </i>
    <i>
      <x v="51"/>
      <x v="1"/>
    </i>
    <i>
      <x v="52"/>
      <x v="1"/>
    </i>
    <i>
      <x v="53"/>
      <x v="1"/>
    </i>
    <i>
      <x v="54"/>
      <x v="1"/>
    </i>
    <i>
      <x v="55"/>
      <x v="1"/>
    </i>
    <i>
      <x v="56"/>
      <x v="1"/>
    </i>
    <i>
      <x v="57"/>
      <x v="1"/>
    </i>
    <i>
      <x v="58"/>
      <x v="1"/>
    </i>
    <i>
      <x v="59"/>
      <x v="1"/>
    </i>
    <i>
      <x v="60"/>
      <x v="1"/>
    </i>
    <i>
      <x v="61"/>
      <x v="1"/>
    </i>
    <i>
      <x v="62"/>
      <x v="1"/>
    </i>
    <i>
      <x v="63"/>
      <x v="1"/>
    </i>
    <i>
      <x v="64"/>
      <x v="1"/>
    </i>
    <i>
      <x v="65"/>
      <x v="1"/>
    </i>
    <i>
      <x v="66"/>
      <x v="1"/>
    </i>
    <i>
      <x v="67"/>
      <x v="1"/>
    </i>
    <i>
      <x v="68"/>
      <x v="1"/>
    </i>
    <i>
      <x v="69"/>
      <x v="1"/>
    </i>
    <i>
      <x v="70"/>
      <x v="1"/>
    </i>
    <i>
      <x v="71"/>
      <x v="1"/>
    </i>
    <i>
      <x v="72"/>
      <x v="1"/>
    </i>
    <i>
      <x v="73"/>
      <x v="1"/>
    </i>
    <i>
      <x v="74"/>
      <x v="1"/>
    </i>
    <i>
      <x v="75"/>
      <x v="1"/>
    </i>
    <i>
      <x v="76"/>
      <x v="1"/>
    </i>
    <i>
      <x v="77"/>
      <x v="1"/>
    </i>
    <i>
      <x v="78"/>
      <x v="1"/>
    </i>
    <i>
      <x v="79"/>
      <x v="1"/>
    </i>
    <i>
      <x v="80"/>
      <x v="1"/>
    </i>
    <i>
      <x v="81"/>
      <x v="1"/>
    </i>
    <i>
      <x v="82"/>
      <x v="1"/>
    </i>
    <i>
      <x v="83"/>
      <x v="1"/>
    </i>
    <i>
      <x v="84"/>
      <x v="1"/>
    </i>
    <i>
      <x v="85"/>
      <x v="1"/>
    </i>
    <i>
      <x v="86"/>
      <x v="1"/>
    </i>
    <i>
      <x v="87"/>
      <x v="1"/>
    </i>
    <i>
      <x v="88"/>
      <x v="1"/>
    </i>
    <i>
      <x v="89"/>
      <x v="1"/>
    </i>
    <i>
      <x v="90"/>
      <x v="1"/>
    </i>
    <i>
      <x v="91"/>
      <x v="1"/>
    </i>
    <i>
      <x v="92"/>
      <x v="1"/>
    </i>
    <i>
      <x v="93"/>
      <x v="1"/>
    </i>
    <i>
      <x v="94"/>
      <x v="1"/>
    </i>
    <i>
      <x v="95"/>
      <x v="1"/>
    </i>
    <i>
      <x v="96"/>
      <x v="1"/>
    </i>
    <i>
      <x v="97"/>
      <x v="1"/>
    </i>
    <i>
      <x v="98"/>
      <x v="1"/>
    </i>
    <i>
      <x v="99"/>
      <x v="1"/>
    </i>
    <i>
      <x v="100"/>
      <x v="1"/>
    </i>
    <i>
      <x v="101"/>
      <x v="1"/>
    </i>
    <i>
      <x v="102"/>
      <x v="1"/>
    </i>
    <i>
      <x v="103"/>
      <x v="1"/>
    </i>
    <i>
      <x v="104"/>
      <x v="1"/>
    </i>
    <i>
      <x v="105"/>
      <x v="1"/>
    </i>
    <i>
      <x v="106"/>
      <x v="1"/>
    </i>
    <i>
      <x v="107"/>
      <x v="1"/>
    </i>
    <i>
      <x v="108"/>
      <x v="1"/>
    </i>
    <i>
      <x v="109"/>
      <x v="1"/>
    </i>
    <i>
      <x v="110"/>
      <x v="1"/>
    </i>
    <i>
      <x v="111"/>
      <x v="1"/>
    </i>
    <i>
      <x v="112"/>
      <x v="1"/>
    </i>
    <i>
      <x v="113"/>
      <x v="1"/>
    </i>
    <i>
      <x v="114"/>
      <x v="1"/>
    </i>
    <i>
      <x v="115"/>
      <x v="1"/>
    </i>
    <i>
      <x v="116"/>
      <x v="1"/>
    </i>
    <i>
      <x v="117"/>
      <x v="1"/>
    </i>
    <i>
      <x v="118"/>
      <x v="1"/>
    </i>
    <i>
      <x v="119"/>
      <x v="1"/>
    </i>
    <i>
      <x v="120"/>
      <x v="1"/>
    </i>
    <i>
      <x v="121"/>
      <x v="1"/>
    </i>
    <i>
      <x v="122"/>
      <x v="1"/>
    </i>
    <i>
      <x v="123"/>
      <x v="1"/>
    </i>
    <i>
      <x v="124"/>
      <x v="1"/>
    </i>
    <i>
      <x v="125"/>
      <x v="1"/>
    </i>
    <i>
      <x v="126"/>
      <x v="1"/>
    </i>
    <i>
      <x v="127"/>
      <x v="1"/>
    </i>
    <i>
      <x v="128"/>
      <x v="1"/>
    </i>
    <i>
      <x v="129"/>
      <x v="1"/>
    </i>
    <i>
      <x v="130"/>
      <x v="1"/>
    </i>
    <i>
      <x v="131"/>
      <x v="1"/>
    </i>
    <i>
      <x v="132"/>
      <x v="1"/>
    </i>
    <i>
      <x v="133"/>
      <x v="1"/>
    </i>
    <i>
      <x v="134"/>
      <x v="1"/>
    </i>
    <i>
      <x v="135"/>
      <x v="1"/>
    </i>
    <i>
      <x v="136"/>
      <x v="1"/>
    </i>
    <i>
      <x v="137"/>
      <x v="1"/>
    </i>
    <i>
      <x v="138"/>
      <x v="1"/>
    </i>
    <i>
      <x v="139"/>
      <x v="1"/>
    </i>
    <i>
      <x v="140"/>
      <x v="1"/>
    </i>
    <i>
      <x v="141"/>
      <x v="1"/>
    </i>
    <i>
      <x v="142"/>
      <x v="1"/>
    </i>
    <i>
      <x v="143"/>
      <x v="1"/>
    </i>
    <i>
      <x v="144"/>
      <x v="1"/>
    </i>
    <i>
      <x v="145"/>
      <x v="1"/>
    </i>
    <i>
      <x v="146"/>
      <x v="1"/>
    </i>
    <i>
      <x v="147"/>
      <x v="1"/>
    </i>
    <i>
      <x v="148"/>
      <x v="1"/>
    </i>
    <i>
      <x v="149"/>
      <x v="1"/>
    </i>
    <i>
      <x v="150"/>
      <x v="1"/>
    </i>
    <i>
      <x v="151"/>
      <x v="1"/>
    </i>
    <i>
      <x v="152"/>
      <x v="1"/>
    </i>
    <i>
      <x v="153"/>
      <x v="1"/>
    </i>
    <i>
      <x v="154"/>
      <x v="1"/>
    </i>
    <i>
      <x v="155"/>
      <x v="1"/>
    </i>
    <i>
      <x v="156"/>
      <x v="1"/>
    </i>
    <i>
      <x v="157"/>
      <x v="1"/>
    </i>
    <i>
      <x v="158"/>
      <x v="1"/>
    </i>
    <i>
      <x v="159"/>
      <x v="1"/>
    </i>
    <i>
      <x v="160"/>
      <x v="1"/>
    </i>
    <i>
      <x v="161"/>
      <x v="1"/>
    </i>
    <i>
      <x v="162"/>
      <x v="1"/>
    </i>
    <i>
      <x v="163"/>
      <x v="1"/>
    </i>
    <i>
      <x v="164"/>
      <x v="1"/>
    </i>
    <i>
      <x v="165"/>
      <x v="1"/>
    </i>
    <i>
      <x v="166"/>
      <x v="1"/>
    </i>
    <i>
      <x v="167"/>
      <x v="1"/>
    </i>
    <i>
      <x v="168"/>
      <x v="1"/>
    </i>
    <i>
      <x v="169"/>
      <x v="1"/>
    </i>
    <i>
      <x v="170"/>
      <x v="1"/>
    </i>
    <i>
      <x v="171"/>
      <x v="1"/>
    </i>
    <i>
      <x v="172"/>
      <x v="1"/>
    </i>
    <i>
      <x v="173"/>
      <x v="1"/>
    </i>
    <i>
      <x v="174"/>
      <x v="1"/>
    </i>
    <i>
      <x v="175"/>
      <x v="1"/>
    </i>
    <i>
      <x v="176"/>
      <x v="1"/>
    </i>
    <i>
      <x v="177"/>
      <x v="1"/>
    </i>
    <i>
      <x v="178"/>
      <x v="1"/>
    </i>
    <i>
      <x v="179"/>
      <x v="1"/>
    </i>
    <i>
      <x v="180"/>
      <x v="1"/>
    </i>
    <i>
      <x v="181"/>
      <x v="1"/>
    </i>
    <i>
      <x v="182"/>
      <x v="1"/>
    </i>
    <i>
      <x v="183"/>
      <x v="1"/>
    </i>
    <i>
      <x v="184"/>
      <x v="1"/>
    </i>
    <i>
      <x v="185"/>
      <x v="1"/>
    </i>
    <i>
      <x v="186"/>
      <x v="1"/>
    </i>
    <i>
      <x v="187"/>
      <x v="1"/>
    </i>
    <i>
      <x v="188"/>
      <x v="1"/>
    </i>
    <i>
      <x v="189"/>
      <x v="1"/>
    </i>
    <i>
      <x v="190"/>
      <x v="1"/>
    </i>
    <i>
      <x v="191"/>
      <x v="1"/>
    </i>
    <i>
      <x v="192"/>
      <x v="1"/>
    </i>
    <i>
      <x v="193"/>
      <x v="1"/>
    </i>
    <i>
      <x v="194"/>
      <x v="1"/>
    </i>
    <i>
      <x v="195"/>
      <x v="1"/>
    </i>
    <i>
      <x v="196"/>
      <x v="1"/>
    </i>
    <i>
      <x v="197"/>
      <x v="1"/>
    </i>
    <i>
      <x v="198"/>
      <x v="1"/>
    </i>
    <i>
      <x v="199"/>
      <x v="1"/>
    </i>
    <i>
      <x v="200"/>
      <x v="1"/>
    </i>
    <i>
      <x v="201"/>
      <x v="1"/>
    </i>
    <i>
      <x v="202"/>
      <x v="1"/>
    </i>
    <i>
      <x v="203"/>
      <x v="1"/>
    </i>
    <i>
      <x v="204"/>
      <x v="1"/>
    </i>
    <i>
      <x v="205"/>
      <x v="1"/>
    </i>
    <i>
      <x v="206"/>
      <x v="1"/>
    </i>
    <i>
      <x v="207"/>
      <x v="1"/>
    </i>
    <i>
      <x v="208"/>
      <x v="1"/>
    </i>
    <i>
      <x v="209"/>
      <x v="1"/>
    </i>
    <i>
      <x v="210"/>
      <x v="1"/>
    </i>
    <i>
      <x v="211"/>
      <x v="1"/>
    </i>
    <i>
      <x v="212"/>
      <x v="1"/>
    </i>
    <i>
      <x v="213"/>
      <x v="1"/>
    </i>
    <i>
      <x v="214"/>
      <x v="1"/>
    </i>
    <i>
      <x v="215"/>
      <x v="1"/>
    </i>
    <i>
      <x v="216"/>
      <x v="1"/>
    </i>
    <i>
      <x v="217"/>
      <x v="1"/>
    </i>
    <i>
      <x v="218"/>
      <x v="1"/>
    </i>
    <i>
      <x v="219"/>
      <x v="1"/>
    </i>
    <i>
      <x v="220"/>
      <x v="1"/>
    </i>
    <i>
      <x v="221"/>
      <x v="1"/>
    </i>
    <i>
      <x v="222"/>
      <x v="1"/>
    </i>
    <i>
      <x v="223"/>
      <x v="1"/>
    </i>
    <i>
      <x v="224"/>
      <x v="1"/>
    </i>
    <i>
      <x v="225"/>
      <x v="1"/>
    </i>
    <i>
      <x v="226"/>
      <x v="1"/>
    </i>
    <i>
      <x v="227"/>
      <x v="1"/>
    </i>
    <i>
      <x v="228"/>
      <x v="1"/>
    </i>
    <i>
      <x v="229"/>
      <x v="1"/>
    </i>
    <i>
      <x v="230"/>
      <x v="1"/>
    </i>
    <i>
      <x v="231"/>
      <x v="1"/>
    </i>
    <i>
      <x v="232"/>
      <x v="1"/>
    </i>
    <i>
      <x v="233"/>
      <x v="1"/>
    </i>
    <i>
      <x v="234"/>
      <x v="1"/>
    </i>
    <i>
      <x v="235"/>
      <x v="1"/>
    </i>
    <i>
      <x v="236"/>
      <x v="1"/>
    </i>
    <i>
      <x v="237"/>
      <x v="1"/>
    </i>
    <i>
      <x v="238"/>
      <x v="1"/>
    </i>
    <i>
      <x v="239"/>
      <x v="1"/>
    </i>
    <i>
      <x v="240"/>
      <x v="1"/>
    </i>
    <i>
      <x v="241"/>
      <x v="1"/>
    </i>
    <i>
      <x v="242"/>
      <x v="1"/>
    </i>
    <i>
      <x v="243"/>
      <x v="1"/>
    </i>
    <i>
      <x v="244"/>
      <x v="1"/>
    </i>
    <i>
      <x v="245"/>
      <x v="1"/>
    </i>
    <i>
      <x v="246"/>
      <x v="1"/>
    </i>
    <i>
      <x v="247"/>
      <x v="1"/>
    </i>
    <i>
      <x v="248"/>
      <x v="1"/>
    </i>
    <i>
      <x v="249"/>
      <x v="1"/>
    </i>
    <i>
      <x v="250"/>
      <x v="1"/>
    </i>
    <i>
      <x v="251"/>
      <x v="1"/>
    </i>
    <i>
      <x v="252"/>
      <x v="1"/>
    </i>
    <i>
      <x v="253"/>
      <x v="1"/>
    </i>
    <i>
      <x v="254"/>
      <x v="1"/>
    </i>
    <i>
      <x v="255"/>
      <x v="1"/>
    </i>
    <i>
      <x v="256"/>
      <x v="1"/>
    </i>
    <i>
      <x v="257"/>
      <x/>
    </i>
    <i>
      <x v="258"/>
      <x v="1"/>
    </i>
    <i>
      <x v="259"/>
      <x v="1"/>
    </i>
    <i>
      <x v="260"/>
      <x v="1"/>
    </i>
    <i>
      <x v="261"/>
      <x v="1"/>
    </i>
    <i>
      <x v="262"/>
      <x v="1"/>
    </i>
    <i>
      <x v="263"/>
      <x v="1"/>
    </i>
    <i>
      <x v="264"/>
      <x v="1"/>
    </i>
    <i>
      <x v="265"/>
      <x v="1"/>
    </i>
    <i>
      <x v="266"/>
      <x v="1"/>
    </i>
    <i>
      <x v="267"/>
      <x v="1"/>
    </i>
    <i>
      <x v="268"/>
      <x v="1"/>
    </i>
    <i>
      <x v="269"/>
      <x v="1"/>
    </i>
    <i>
      <x v="270"/>
      <x v="1"/>
    </i>
    <i>
      <x v="271"/>
      <x v="1"/>
    </i>
    <i>
      <x v="272"/>
      <x v="1"/>
    </i>
    <i>
      <x v="273"/>
      <x v="1"/>
    </i>
    <i>
      <x v="274"/>
      <x v="1"/>
    </i>
    <i>
      <x v="275"/>
      <x v="1"/>
    </i>
    <i>
      <x v="276"/>
      <x v="1"/>
    </i>
    <i>
      <x v="277"/>
      <x v="1"/>
    </i>
    <i>
      <x v="278"/>
      <x v="1"/>
    </i>
    <i>
      <x v="279"/>
      <x v="1"/>
    </i>
    <i>
      <x v="280"/>
      <x v="1"/>
    </i>
    <i>
      <x v="281"/>
      <x v="1"/>
    </i>
    <i>
      <x v="282"/>
      <x v="1"/>
    </i>
    <i>
      <x v="283"/>
      <x v="1"/>
    </i>
    <i>
      <x v="284"/>
      <x v="1"/>
    </i>
    <i>
      <x v="285"/>
      <x/>
    </i>
    <i>
      <x v="286"/>
      <x v="1"/>
    </i>
    <i>
      <x v="287"/>
      <x v="1"/>
    </i>
    <i>
      <x v="288"/>
      <x v="1"/>
    </i>
    <i>
      <x v="289"/>
      <x v="1"/>
    </i>
    <i>
      <x v="290"/>
      <x v="1"/>
    </i>
    <i>
      <x v="291"/>
      <x v="1"/>
    </i>
    <i>
      <x v="292"/>
      <x v="1"/>
    </i>
    <i>
      <x v="293"/>
      <x v="1"/>
    </i>
    <i>
      <x v="294"/>
      <x v="1"/>
    </i>
    <i>
      <x v="295"/>
      <x v="1"/>
    </i>
    <i>
      <x v="296"/>
      <x v="1"/>
    </i>
    <i>
      <x v="297"/>
      <x v="1"/>
    </i>
    <i>
      <x v="298"/>
      <x v="1"/>
    </i>
    <i>
      <x v="299"/>
      <x v="1"/>
    </i>
    <i>
      <x v="300"/>
      <x v="1"/>
    </i>
    <i>
      <x v="301"/>
      <x v="1"/>
    </i>
    <i>
      <x v="302"/>
      <x v="1"/>
    </i>
    <i>
      <x v="303"/>
      <x v="1"/>
    </i>
    <i>
      <x v="304"/>
      <x v="1"/>
    </i>
    <i>
      <x v="305"/>
      <x v="1"/>
    </i>
    <i>
      <x v="306"/>
      <x v="1"/>
    </i>
    <i>
      <x v="307"/>
      <x v="1"/>
    </i>
    <i>
      <x v="308"/>
      <x v="1"/>
    </i>
    <i>
      <x v="309"/>
      <x v="1"/>
    </i>
    <i>
      <x v="310"/>
      <x v="1"/>
    </i>
    <i>
      <x v="311"/>
      <x v="1"/>
    </i>
    <i>
      <x v="312"/>
      <x v="1"/>
    </i>
    <i>
      <x v="313"/>
      <x v="1"/>
    </i>
    <i>
      <x v="314"/>
      <x v="1"/>
    </i>
    <i>
      <x v="315"/>
      <x v="1"/>
    </i>
    <i>
      <x v="316"/>
      <x v="1"/>
    </i>
    <i>
      <x v="317"/>
      <x v="1"/>
    </i>
    <i>
      <x v="318"/>
      <x v="1"/>
    </i>
    <i>
      <x v="319"/>
      <x v="1"/>
    </i>
    <i>
      <x v="320"/>
      <x v="1"/>
    </i>
    <i>
      <x v="321"/>
      <x v="1"/>
    </i>
    <i>
      <x v="322"/>
      <x v="1"/>
    </i>
    <i>
      <x v="323"/>
      <x v="1"/>
    </i>
    <i>
      <x v="324"/>
      <x v="1"/>
    </i>
    <i>
      <x v="325"/>
      <x v="1"/>
    </i>
    <i>
      <x v="326"/>
      <x v="1"/>
    </i>
    <i>
      <x v="327"/>
      <x v="1"/>
    </i>
    <i>
      <x v="328"/>
      <x v="1"/>
    </i>
    <i>
      <x v="329"/>
      <x v="1"/>
    </i>
    <i>
      <x v="330"/>
      <x v="1"/>
    </i>
    <i>
      <x v="331"/>
      <x v="1"/>
    </i>
    <i>
      <x v="332"/>
      <x v="1"/>
    </i>
    <i>
      <x v="333"/>
      <x v="1"/>
    </i>
    <i>
      <x v="334"/>
      <x v="1"/>
    </i>
    <i>
      <x v="335"/>
      <x v="1"/>
    </i>
    <i>
      <x v="336"/>
      <x v="1"/>
    </i>
    <i>
      <x v="337"/>
      <x v="1"/>
    </i>
    <i>
      <x v="338"/>
      <x v="1"/>
    </i>
    <i>
      <x v="339"/>
      <x v="1"/>
    </i>
    <i>
      <x v="340"/>
      <x v="1"/>
    </i>
    <i>
      <x v="341"/>
      <x v="1"/>
    </i>
    <i>
      <x v="342"/>
      <x v="1"/>
    </i>
    <i>
      <x v="343"/>
      <x v="1"/>
    </i>
    <i>
      <x v="344"/>
      <x v="1"/>
    </i>
    <i>
      <x v="345"/>
      <x v="1"/>
    </i>
    <i>
      <x v="346"/>
      <x v="1"/>
    </i>
    <i>
      <x v="347"/>
      <x v="1"/>
    </i>
    <i>
      <x v="348"/>
      <x v="1"/>
    </i>
    <i>
      <x v="349"/>
      <x v="1"/>
    </i>
    <i>
      <x v="350"/>
      <x v="1"/>
    </i>
    <i>
      <x v="351"/>
      <x v="1"/>
    </i>
    <i>
      <x v="352"/>
      <x v="1"/>
    </i>
    <i>
      <x v="353"/>
      <x v="1"/>
    </i>
    <i>
      <x v="354"/>
      <x v="1"/>
    </i>
    <i>
      <x v="355"/>
      <x v="1"/>
    </i>
    <i>
      <x v="356"/>
      <x v="1"/>
    </i>
    <i>
      <x v="357"/>
      <x v="1"/>
    </i>
    <i>
      <x v="358"/>
      <x v="1"/>
    </i>
    <i>
      <x v="359"/>
      <x v="1"/>
    </i>
    <i>
      <x v="360"/>
      <x v="1"/>
    </i>
    <i>
      <x v="361"/>
      <x v="1"/>
    </i>
    <i>
      <x v="362"/>
      <x/>
    </i>
    <i>
      <x v="363"/>
      <x v="1"/>
    </i>
    <i>
      <x v="364"/>
      <x v="1"/>
    </i>
    <i>
      <x v="365"/>
      <x v="1"/>
    </i>
    <i>
      <x v="366"/>
      <x v="1"/>
    </i>
    <i>
      <x v="367"/>
      <x v="1"/>
    </i>
    <i>
      <x v="368"/>
      <x v="1"/>
    </i>
    <i>
      <x v="369"/>
      <x v="1"/>
    </i>
    <i>
      <x v="370"/>
      <x v="1"/>
    </i>
    <i>
      <x v="371"/>
      <x v="1"/>
    </i>
    <i>
      <x v="372"/>
      <x/>
    </i>
    <i>
      <x v="373"/>
      <x v="1"/>
    </i>
    <i>
      <x v="374"/>
      <x v="1"/>
    </i>
    <i>
      <x v="375"/>
      <x v="1"/>
    </i>
    <i>
      <x v="376"/>
      <x v="1"/>
    </i>
    <i>
      <x v="377"/>
      <x v="1"/>
    </i>
    <i>
      <x v="378"/>
      <x v="1"/>
    </i>
    <i>
      <x v="379"/>
      <x v="1"/>
    </i>
    <i>
      <x v="380"/>
      <x v="1"/>
    </i>
    <i>
      <x v="381"/>
      <x v="1"/>
    </i>
    <i>
      <x v="382"/>
      <x v="1"/>
    </i>
    <i>
      <x v="383"/>
      <x v="1"/>
    </i>
    <i>
      <x v="384"/>
      <x v="1"/>
    </i>
    <i>
      <x v="385"/>
      <x v="1"/>
    </i>
    <i t="grand">
      <x/>
    </i>
  </rowItems>
  <colItems count="1">
    <i/>
  </colItems>
  <dataFields count="1">
    <dataField name="Sum of Sales amt $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3" createdVersion="4" useAutoFormatting="1" compact="0" indent="0" compactData="0" showDrill="1" multipleFieldFilters="0" chartFormat="3">
  <location ref="P3:Q30" firstHeaderRow="1" firstDataRow="1" firstDataCol="1"/>
  <pivotFields count="9">
    <pivotField compact="0" defaultSubtotal="0" outline="0" numFmtId="58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339">
        <item x="272"/>
        <item x="191"/>
        <item x="108"/>
        <item x="39"/>
        <item x="79"/>
        <item x="168"/>
        <item x="252"/>
        <item x="270"/>
        <item x="3"/>
        <item x="211"/>
        <item x="289"/>
        <item x="294"/>
        <item x="239"/>
        <item x="95"/>
        <item x="209"/>
        <item x="82"/>
        <item x="262"/>
        <item x="260"/>
        <item x="255"/>
        <item x="34"/>
        <item x="286"/>
        <item x="271"/>
        <item x="333"/>
        <item x="265"/>
        <item x="313"/>
        <item x="24"/>
        <item x="192"/>
        <item x="56"/>
        <item x="188"/>
        <item x="283"/>
        <item x="202"/>
        <item x="303"/>
        <item x="204"/>
        <item x="275"/>
        <item x="296"/>
        <item x="106"/>
        <item x="194"/>
        <item x="134"/>
        <item x="231"/>
        <item x="11"/>
        <item x="326"/>
        <item x="205"/>
        <item x="169"/>
        <item x="304"/>
        <item x="21"/>
        <item x="208"/>
        <item x="1"/>
        <item x="257"/>
        <item x="116"/>
        <item x="138"/>
        <item x="295"/>
        <item x="299"/>
        <item x="179"/>
        <item x="20"/>
        <item x="65"/>
        <item x="52"/>
        <item x="200"/>
        <item x="59"/>
        <item x="53"/>
        <item x="15"/>
        <item x="332"/>
        <item x="93"/>
        <item x="70"/>
        <item x="58"/>
        <item x="36"/>
        <item x="297"/>
        <item x="219"/>
        <item x="291"/>
        <item x="285"/>
        <item x="122"/>
        <item x="181"/>
        <item x="88"/>
        <item x="222"/>
        <item x="114"/>
        <item x="335"/>
        <item x="73"/>
        <item x="74"/>
        <item x="292"/>
        <item x="309"/>
        <item x="207"/>
        <item x="16"/>
        <item x="40"/>
        <item x="48"/>
        <item x="288"/>
        <item x="50"/>
        <item x="47"/>
        <item x="33"/>
        <item x="35"/>
        <item x="61"/>
        <item x="123"/>
        <item x="62"/>
        <item x="213"/>
        <item x="4"/>
        <item x="268"/>
        <item x="5"/>
        <item x="266"/>
        <item x="206"/>
        <item x="14"/>
        <item x="130"/>
        <item x="273"/>
        <item x="166"/>
        <item x="242"/>
        <item x="182"/>
        <item x="249"/>
        <item x="180"/>
        <item x="250"/>
        <item x="131"/>
        <item x="57"/>
        <item x="99"/>
        <item x="37"/>
        <item x="225"/>
        <item x="258"/>
        <item x="324"/>
        <item x="151"/>
        <item x="203"/>
        <item x="22"/>
        <item x="42"/>
        <item x="155"/>
        <item x="156"/>
        <item x="64"/>
        <item x="287"/>
        <item x="67"/>
        <item x="41"/>
        <item x="12"/>
        <item x="277"/>
        <item x="278"/>
        <item x="170"/>
        <item x="164"/>
        <item x="135"/>
        <item x="165"/>
        <item x="54"/>
        <item x="75"/>
        <item x="254"/>
        <item x="274"/>
        <item x="214"/>
        <item x="66"/>
        <item x="160"/>
        <item x="32"/>
        <item x="43"/>
        <item x="44"/>
        <item x="83"/>
        <item x="145"/>
        <item x="104"/>
        <item x="189"/>
        <item x="229"/>
        <item x="6"/>
        <item x="190"/>
        <item x="263"/>
        <item x="247"/>
        <item x="248"/>
        <item x="154"/>
        <item x="13"/>
        <item x="244"/>
        <item x="316"/>
        <item x="72"/>
        <item x="264"/>
        <item x="112"/>
        <item x="101"/>
        <item x="113"/>
        <item x="102"/>
        <item x="91"/>
        <item x="19"/>
        <item x="315"/>
        <item x="195"/>
        <item x="253"/>
        <item x="236"/>
        <item x="212"/>
        <item x="269"/>
        <item x="109"/>
        <item x="329"/>
        <item x="280"/>
        <item x="322"/>
        <item x="147"/>
        <item x="331"/>
        <item x="80"/>
        <item x="87"/>
        <item x="125"/>
        <item x="167"/>
        <item x="148"/>
        <item x="334"/>
        <item x="46"/>
        <item x="223"/>
        <item x="141"/>
        <item x="220"/>
        <item x="337"/>
        <item x="183"/>
        <item x="150"/>
        <item x="196"/>
        <item x="81"/>
        <item x="149"/>
        <item x="51"/>
        <item x="126"/>
        <item x="146"/>
        <item x="284"/>
        <item x="139"/>
        <item x="140"/>
        <item x="136"/>
        <item x="293"/>
        <item x="153"/>
        <item x="174"/>
        <item x="119"/>
        <item x="184"/>
        <item x="17"/>
        <item x="127"/>
        <item x="49"/>
        <item x="328"/>
        <item x="84"/>
        <item x="63"/>
        <item x="92"/>
        <item x="215"/>
        <item x="120"/>
        <item x="237"/>
        <item x="94"/>
        <item x="216"/>
        <item x="143"/>
        <item x="226"/>
        <item x="176"/>
        <item x="279"/>
        <item x="234"/>
        <item x="171"/>
        <item x="245"/>
        <item x="246"/>
        <item x="137"/>
        <item x="298"/>
        <item x="319"/>
        <item x="327"/>
        <item x="317"/>
        <item x="142"/>
        <item x="281"/>
        <item x="68"/>
        <item x="305"/>
        <item x="301"/>
        <item x="238"/>
        <item x="233"/>
        <item x="310"/>
        <item x="133"/>
        <item x="320"/>
        <item x="338"/>
        <item x="312"/>
        <item x="325"/>
        <item x="217"/>
        <item x="307"/>
        <item x="241"/>
        <item x="117"/>
        <item x="290"/>
        <item x="243"/>
        <item x="121"/>
        <item x="107"/>
        <item x="318"/>
        <item x="124"/>
        <item x="69"/>
        <item x="282"/>
        <item x="177"/>
        <item x="306"/>
        <item x="96"/>
        <item x="97"/>
        <item x="30"/>
        <item x="55"/>
        <item x="251"/>
        <item x="29"/>
        <item x="28"/>
        <item x="261"/>
        <item x="132"/>
        <item x="172"/>
        <item x="23"/>
        <item x="86"/>
        <item x="7"/>
        <item x="90"/>
        <item x="240"/>
        <item x="330"/>
        <item x="311"/>
        <item x="103"/>
        <item x="321"/>
        <item x="323"/>
        <item x="128"/>
        <item x="76"/>
        <item x="224"/>
        <item x="31"/>
        <item x="157"/>
        <item x="158"/>
        <item x="159"/>
        <item x="25"/>
        <item x="197"/>
        <item x="221"/>
        <item x="187"/>
        <item x="173"/>
        <item x="144"/>
        <item x="308"/>
        <item x="300"/>
        <item x="302"/>
        <item x="267"/>
        <item x="256"/>
        <item x="18"/>
        <item x="235"/>
        <item x="129"/>
        <item x="210"/>
        <item x="98"/>
        <item x="105"/>
        <item x="175"/>
        <item x="230"/>
        <item x="2"/>
        <item x="115"/>
        <item x="152"/>
        <item x="161"/>
        <item x="336"/>
        <item x="71"/>
        <item x="38"/>
        <item x="9"/>
        <item x="8"/>
        <item x="185"/>
        <item x="314"/>
        <item x="10"/>
        <item x="162"/>
        <item x="0"/>
        <item x="201"/>
        <item x="227"/>
        <item x="178"/>
        <item x="45"/>
        <item x="89"/>
        <item x="259"/>
        <item x="111"/>
        <item x="110"/>
        <item x="228"/>
        <item x="163"/>
        <item x="100"/>
        <item x="85"/>
        <item x="198"/>
        <item x="276"/>
        <item x="193"/>
        <item x="199"/>
        <item x="232"/>
        <item x="186"/>
        <item x="218"/>
        <item x="60"/>
        <item x="118"/>
        <item x="77"/>
        <item x="78"/>
        <item x="26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measureFilter="1" compact="0" sortType="descending" defaultSubtotal="0" outline="0" showAll="0">
      <items count="339">
        <item x="165"/>
        <item x="286"/>
        <item x="48"/>
        <item x="321"/>
        <item x="212"/>
        <item x="84"/>
        <item x="305"/>
        <item x="18"/>
        <item x="238"/>
        <item x="328"/>
        <item x="97"/>
        <item x="186"/>
        <item x="233"/>
        <item x="33"/>
        <item x="222"/>
        <item x="169"/>
        <item x="59"/>
        <item x="46"/>
        <item x="273"/>
        <item x="299"/>
        <item x="45"/>
        <item x="47"/>
        <item x="167"/>
        <item x="327"/>
        <item x="213"/>
        <item x="197"/>
        <item x="171"/>
        <item x="218"/>
        <item x="77"/>
        <item x="192"/>
        <item x="166"/>
        <item x="55"/>
        <item x="281"/>
        <item x="112"/>
        <item x="240"/>
        <item x="29"/>
        <item x="214"/>
        <item x="73"/>
        <item x="27"/>
        <item x="34"/>
        <item x="189"/>
        <item x="254"/>
        <item x="215"/>
        <item x="337"/>
        <item x="17"/>
        <item x="231"/>
        <item x="38"/>
        <item x="229"/>
        <item x="142"/>
        <item x="182"/>
        <item x="115"/>
        <item x="128"/>
        <item x="202"/>
        <item x="120"/>
        <item x="106"/>
        <item x="188"/>
        <item x="175"/>
        <item x="2"/>
        <item x="199"/>
        <item x="291"/>
        <item x="9"/>
        <item x="262"/>
        <item x="42"/>
        <item x="256"/>
        <item x="157"/>
        <item x="78"/>
        <item x="174"/>
        <item x="250"/>
        <item x="303"/>
        <item x="134"/>
        <item x="266"/>
        <item x="300"/>
        <item x="109"/>
        <item x="308"/>
        <item x="253"/>
        <item x="122"/>
        <item x="183"/>
        <item x="280"/>
        <item x="76"/>
        <item x="155"/>
        <item x="228"/>
        <item x="102"/>
        <item x="225"/>
        <item x="40"/>
        <item x="248"/>
        <item x="4"/>
        <item x="287"/>
        <item x="127"/>
        <item x="307"/>
        <item x="15"/>
        <item x="11"/>
        <item x="267"/>
        <item x="85"/>
        <item x="244"/>
        <item x="219"/>
        <item x="124"/>
        <item x="194"/>
        <item x="242"/>
        <item x="170"/>
        <item x="161"/>
        <item x="232"/>
        <item x="51"/>
        <item x="104"/>
        <item x="113"/>
        <item x="98"/>
        <item x="0"/>
        <item x="10"/>
        <item x="68"/>
        <item x="237"/>
        <item x="141"/>
        <item x="207"/>
        <item x="57"/>
        <item x="198"/>
        <item x="239"/>
        <item x="50"/>
        <item x="246"/>
        <item x="1"/>
        <item x="114"/>
        <item x="282"/>
        <item x="3"/>
        <item x="211"/>
        <item x="5"/>
        <item x="12"/>
        <item x="13"/>
        <item x="8"/>
        <item x="7"/>
        <item x="16"/>
        <item x="20"/>
        <item x="21"/>
        <item x="22"/>
        <item x="23"/>
        <item x="26"/>
        <item x="24"/>
        <item x="25"/>
        <item x="28"/>
        <item x="30"/>
        <item x="31"/>
        <item x="32"/>
        <item x="35"/>
        <item x="41"/>
        <item x="37"/>
        <item x="36"/>
        <item x="44"/>
        <item x="49"/>
        <item x="52"/>
        <item x="53"/>
        <item x="54"/>
        <item x="56"/>
        <item x="58"/>
        <item x="60"/>
        <item x="61"/>
        <item x="63"/>
        <item x="64"/>
        <item x="65"/>
        <item x="66"/>
        <item x="67"/>
        <item x="69"/>
        <item x="70"/>
        <item x="71"/>
        <item x="72"/>
        <item x="74"/>
        <item x="75"/>
        <item x="79"/>
        <item x="80"/>
        <item x="81"/>
        <item x="82"/>
        <item x="83"/>
        <item x="86"/>
        <item x="87"/>
        <item x="88"/>
        <item x="89"/>
        <item x="90"/>
        <item x="91"/>
        <item x="92"/>
        <item x="93"/>
        <item x="94"/>
        <item x="95"/>
        <item x="96"/>
        <item x="99"/>
        <item x="101"/>
        <item x="103"/>
        <item x="105"/>
        <item x="107"/>
        <item x="108"/>
        <item x="110"/>
        <item x="111"/>
        <item x="116"/>
        <item x="117"/>
        <item x="118"/>
        <item x="119"/>
        <item x="121"/>
        <item x="123"/>
        <item x="125"/>
        <item x="126"/>
        <item x="129"/>
        <item x="130"/>
        <item x="131"/>
        <item x="132"/>
        <item x="133"/>
        <item x="135"/>
        <item x="136"/>
        <item x="137"/>
        <item x="153"/>
        <item x="154"/>
        <item x="152"/>
        <item x="151"/>
        <item x="147"/>
        <item x="146"/>
        <item x="145"/>
        <item x="144"/>
        <item x="143"/>
        <item x="140"/>
        <item x="139"/>
        <item x="138"/>
        <item x="292"/>
        <item x="14"/>
        <item x="176"/>
        <item x="164"/>
        <item x="317"/>
        <item x="221"/>
        <item x="330"/>
        <item x="332"/>
        <item x="251"/>
        <item x="62"/>
        <item x="19"/>
        <item x="43"/>
        <item x="187"/>
        <item x="149"/>
        <item x="208"/>
        <item x="6"/>
        <item x="234"/>
        <item x="148"/>
        <item x="150"/>
        <item x="156"/>
        <item x="158"/>
        <item x="159"/>
        <item x="160"/>
        <item x="162"/>
        <item x="163"/>
        <item x="168"/>
        <item x="172"/>
        <item x="173"/>
        <item x="181"/>
        <item x="177"/>
        <item x="178"/>
        <item x="302"/>
        <item x="179"/>
        <item x="180"/>
        <item x="184"/>
        <item x="185"/>
        <item x="190"/>
        <item x="191"/>
        <item x="193"/>
        <item x="195"/>
        <item x="196"/>
        <item x="200"/>
        <item x="203"/>
        <item x="201"/>
        <item x="204"/>
        <item x="205"/>
        <item x="206"/>
        <item x="209"/>
        <item x="210"/>
        <item x="216"/>
        <item x="217"/>
        <item x="220"/>
        <item x="223"/>
        <item x="224"/>
        <item x="226"/>
        <item x="227"/>
        <item x="230"/>
        <item x="235"/>
        <item x="236"/>
        <item x="241"/>
        <item x="243"/>
        <item x="245"/>
        <item x="247"/>
        <item x="249"/>
        <item x="252"/>
        <item x="255"/>
        <item x="257"/>
        <item x="258"/>
        <item x="259"/>
        <item x="261"/>
        <item x="260"/>
        <item x="263"/>
        <item x="264"/>
        <item x="265"/>
        <item x="268"/>
        <item x="269"/>
        <item x="270"/>
        <item x="271"/>
        <item x="272"/>
        <item x="274"/>
        <item x="275"/>
        <item x="276"/>
        <item x="277"/>
        <item x="278"/>
        <item x="279"/>
        <item x="283"/>
        <item x="284"/>
        <item x="285"/>
        <item x="288"/>
        <item x="289"/>
        <item x="290"/>
        <item x="309"/>
        <item x="293"/>
        <item x="294"/>
        <item x="295"/>
        <item x="296"/>
        <item x="297"/>
        <item x="298"/>
        <item x="301"/>
        <item x="304"/>
        <item x="306"/>
        <item x="310"/>
        <item x="311"/>
        <item x="312"/>
        <item x="313"/>
        <item x="314"/>
        <item x="315"/>
        <item x="316"/>
        <item x="318"/>
        <item x="319"/>
        <item x="320"/>
        <item x="322"/>
        <item x="323"/>
        <item x="324"/>
        <item x="325"/>
        <item x="326"/>
        <item x="329"/>
        <item x="331"/>
        <item x="333"/>
        <item x="334"/>
        <item x="335"/>
        <item x="336"/>
        <item x="338"/>
        <item x="100"/>
        <item x="3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3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numFmtId="3" showAl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numFmtId="3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numFmtId="3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27">
    <i>
      <x v="7"/>
    </i>
    <i>
      <x v="35"/>
    </i>
    <i>
      <x v="62"/>
    </i>
    <i>
      <x v="70"/>
    </i>
    <i>
      <x v="75"/>
    </i>
    <i>
      <x v="38"/>
    </i>
    <i>
      <x v="203"/>
    </i>
    <i>
      <x v="22"/>
    </i>
    <i>
      <x v="102"/>
    </i>
    <i>
      <x v="90"/>
    </i>
    <i>
      <x v="39"/>
    </i>
    <i>
      <x v="136"/>
    </i>
    <i>
      <x v="46"/>
    </i>
    <i>
      <x v="88"/>
    </i>
    <i>
      <x v="33"/>
    </i>
    <i>
      <x v="101"/>
    </i>
    <i>
      <x v="175"/>
    </i>
    <i>
      <x v="103"/>
    </i>
    <i>
      <x v="254"/>
    </i>
    <i>
      <x v="143"/>
    </i>
    <i>
      <x v="34"/>
    </i>
    <i>
      <x v="17"/>
    </i>
    <i>
      <x v="67"/>
    </i>
    <i>
      <x v="10"/>
    </i>
    <i>
      <x v="338"/>
    </i>
    <i>
      <x v="69"/>
    </i>
    <i t="grand">
      <x/>
    </i>
  </rowItems>
  <colItems count="1">
    <i/>
  </colItems>
  <dataFields count="1">
    <dataField name="Sum of Sales Qty" fld="6" baseField="0" baseItem="0"/>
  </dataFields>
  <pivotTableStyleInfo name="PivotStyleLight16" showRowHeaders="1" showColHeaders="1" showLastColumn="1"/>
  <filters count="1">
    <filter evalOrder="-1" fld="4" iMeasureFld="0" id="4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4" minRefreshableVersion="3" createdVersion="4" useAutoFormatting="1" compact="0" indent="0" compactData="0" showDrill="1" multipleFieldFilters="0" chartFormat="3">
  <location ref="S3:T14" firstHeaderRow="1" firstDataRow="1" firstDataCol="1"/>
  <pivotFields count="9">
    <pivotField compact="0" defaultSubtotal="0" outline="0" numFmtId="58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7">
        <item x="4"/>
        <item x="2"/>
        <item x="1"/>
        <item x="5"/>
        <item x="0"/>
        <item x="6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339">
        <item x="272"/>
        <item x="191"/>
        <item x="108"/>
        <item x="39"/>
        <item x="79"/>
        <item x="168"/>
        <item x="252"/>
        <item x="270"/>
        <item x="3"/>
        <item x="211"/>
        <item x="289"/>
        <item x="294"/>
        <item x="239"/>
        <item x="95"/>
        <item x="209"/>
        <item x="82"/>
        <item x="262"/>
        <item x="260"/>
        <item x="255"/>
        <item x="34"/>
        <item x="286"/>
        <item x="271"/>
        <item x="333"/>
        <item x="265"/>
        <item x="313"/>
        <item x="24"/>
        <item x="192"/>
        <item x="56"/>
        <item x="188"/>
        <item x="283"/>
        <item x="202"/>
        <item x="303"/>
        <item x="204"/>
        <item x="275"/>
        <item x="296"/>
        <item x="106"/>
        <item x="194"/>
        <item x="134"/>
        <item x="231"/>
        <item x="11"/>
        <item x="326"/>
        <item x="205"/>
        <item x="169"/>
        <item x="304"/>
        <item x="21"/>
        <item x="208"/>
        <item x="1"/>
        <item x="257"/>
        <item x="116"/>
        <item x="138"/>
        <item x="295"/>
        <item x="299"/>
        <item x="179"/>
        <item x="20"/>
        <item x="65"/>
        <item x="52"/>
        <item x="200"/>
        <item x="59"/>
        <item x="53"/>
        <item x="15"/>
        <item x="332"/>
        <item x="93"/>
        <item x="70"/>
        <item x="58"/>
        <item x="36"/>
        <item x="297"/>
        <item x="219"/>
        <item x="291"/>
        <item x="285"/>
        <item x="122"/>
        <item x="181"/>
        <item x="88"/>
        <item x="222"/>
        <item x="114"/>
        <item x="335"/>
        <item x="73"/>
        <item x="74"/>
        <item x="292"/>
        <item x="309"/>
        <item x="207"/>
        <item x="16"/>
        <item x="40"/>
        <item x="48"/>
        <item x="288"/>
        <item x="50"/>
        <item x="47"/>
        <item x="33"/>
        <item x="35"/>
        <item x="61"/>
        <item x="123"/>
        <item x="62"/>
        <item x="213"/>
        <item x="4"/>
        <item x="268"/>
        <item x="5"/>
        <item x="266"/>
        <item x="206"/>
        <item x="14"/>
        <item x="130"/>
        <item x="273"/>
        <item x="166"/>
        <item x="242"/>
        <item x="182"/>
        <item x="249"/>
        <item x="180"/>
        <item x="250"/>
        <item x="131"/>
        <item x="57"/>
        <item x="99"/>
        <item x="37"/>
        <item x="225"/>
        <item x="258"/>
        <item x="324"/>
        <item x="151"/>
        <item x="203"/>
        <item x="22"/>
        <item x="42"/>
        <item x="155"/>
        <item x="156"/>
        <item x="64"/>
        <item x="287"/>
        <item x="67"/>
        <item x="41"/>
        <item x="12"/>
        <item x="277"/>
        <item x="278"/>
        <item x="170"/>
        <item x="164"/>
        <item x="135"/>
        <item x="165"/>
        <item x="54"/>
        <item x="75"/>
        <item x="254"/>
        <item x="274"/>
        <item x="214"/>
        <item x="66"/>
        <item x="160"/>
        <item x="32"/>
        <item x="43"/>
        <item x="44"/>
        <item x="83"/>
        <item x="145"/>
        <item x="104"/>
        <item x="189"/>
        <item x="229"/>
        <item x="6"/>
        <item x="190"/>
        <item x="263"/>
        <item x="247"/>
        <item x="248"/>
        <item x="154"/>
        <item x="13"/>
        <item x="244"/>
        <item x="316"/>
        <item x="72"/>
        <item x="264"/>
        <item x="112"/>
        <item x="101"/>
        <item x="113"/>
        <item x="102"/>
        <item x="91"/>
        <item x="19"/>
        <item x="315"/>
        <item x="195"/>
        <item x="253"/>
        <item x="236"/>
        <item x="212"/>
        <item x="269"/>
        <item x="109"/>
        <item x="329"/>
        <item x="280"/>
        <item x="322"/>
        <item x="147"/>
        <item x="331"/>
        <item x="80"/>
        <item x="87"/>
        <item x="125"/>
        <item x="167"/>
        <item x="148"/>
        <item x="334"/>
        <item x="46"/>
        <item x="223"/>
        <item x="141"/>
        <item x="220"/>
        <item x="337"/>
        <item x="183"/>
        <item x="150"/>
        <item x="196"/>
        <item x="81"/>
        <item x="149"/>
        <item x="51"/>
        <item x="126"/>
        <item x="146"/>
        <item x="284"/>
        <item x="139"/>
        <item x="140"/>
        <item x="136"/>
        <item x="293"/>
        <item x="153"/>
        <item x="174"/>
        <item x="119"/>
        <item x="184"/>
        <item x="17"/>
        <item x="127"/>
        <item x="49"/>
        <item x="328"/>
        <item x="84"/>
        <item x="63"/>
        <item x="92"/>
        <item x="215"/>
        <item x="120"/>
        <item x="237"/>
        <item x="94"/>
        <item x="216"/>
        <item x="143"/>
        <item x="226"/>
        <item x="176"/>
        <item x="279"/>
        <item x="234"/>
        <item x="171"/>
        <item x="245"/>
        <item x="246"/>
        <item x="137"/>
        <item x="298"/>
        <item x="319"/>
        <item x="327"/>
        <item x="317"/>
        <item x="142"/>
        <item x="281"/>
        <item x="68"/>
        <item x="305"/>
        <item x="301"/>
        <item x="238"/>
        <item x="233"/>
        <item x="310"/>
        <item x="133"/>
        <item x="320"/>
        <item x="338"/>
        <item x="312"/>
        <item x="325"/>
        <item x="217"/>
        <item x="307"/>
        <item x="241"/>
        <item x="117"/>
        <item x="290"/>
        <item x="243"/>
        <item x="121"/>
        <item x="107"/>
        <item x="318"/>
        <item x="124"/>
        <item x="69"/>
        <item x="282"/>
        <item x="177"/>
        <item x="306"/>
        <item x="96"/>
        <item x="97"/>
        <item x="30"/>
        <item x="55"/>
        <item x="251"/>
        <item x="29"/>
        <item x="28"/>
        <item x="261"/>
        <item x="132"/>
        <item x="172"/>
        <item x="23"/>
        <item x="86"/>
        <item x="7"/>
        <item x="90"/>
        <item x="240"/>
        <item x="330"/>
        <item x="311"/>
        <item x="103"/>
        <item x="321"/>
        <item x="323"/>
        <item x="128"/>
        <item x="76"/>
        <item x="224"/>
        <item x="31"/>
        <item x="157"/>
        <item x="158"/>
        <item x="159"/>
        <item x="25"/>
        <item x="197"/>
        <item x="221"/>
        <item x="187"/>
        <item x="173"/>
        <item x="144"/>
        <item x="308"/>
        <item x="300"/>
        <item x="302"/>
        <item x="267"/>
        <item x="256"/>
        <item x="18"/>
        <item x="235"/>
        <item x="129"/>
        <item x="210"/>
        <item x="98"/>
        <item x="105"/>
        <item x="175"/>
        <item x="230"/>
        <item x="2"/>
        <item x="115"/>
        <item x="152"/>
        <item x="161"/>
        <item x="336"/>
        <item x="71"/>
        <item x="38"/>
        <item x="9"/>
        <item x="8"/>
        <item x="185"/>
        <item x="314"/>
        <item x="10"/>
        <item x="162"/>
        <item x="0"/>
        <item x="201"/>
        <item x="227"/>
        <item x="178"/>
        <item x="45"/>
        <item x="89"/>
        <item x="259"/>
        <item x="111"/>
        <item x="110"/>
        <item x="228"/>
        <item x="163"/>
        <item x="100"/>
        <item x="85"/>
        <item x="198"/>
        <item x="276"/>
        <item x="193"/>
        <item x="199"/>
        <item x="232"/>
        <item x="186"/>
        <item x="218"/>
        <item x="60"/>
        <item x="118"/>
        <item x="77"/>
        <item x="78"/>
        <item x="26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measureFilter="1" compact="0" sortType="descending" defaultSubtotal="0" outline="0" showAll="0">
      <items count="339">
        <item x="165"/>
        <item x="286"/>
        <item x="48"/>
        <item x="321"/>
        <item x="212"/>
        <item x="84"/>
        <item x="305"/>
        <item x="18"/>
        <item x="238"/>
        <item x="328"/>
        <item x="97"/>
        <item x="186"/>
        <item x="233"/>
        <item x="33"/>
        <item x="222"/>
        <item x="169"/>
        <item x="59"/>
        <item x="46"/>
        <item x="273"/>
        <item x="299"/>
        <item x="45"/>
        <item x="47"/>
        <item x="167"/>
        <item x="327"/>
        <item x="213"/>
        <item x="197"/>
        <item x="171"/>
        <item x="218"/>
        <item x="77"/>
        <item x="192"/>
        <item x="166"/>
        <item x="55"/>
        <item x="281"/>
        <item x="112"/>
        <item x="240"/>
        <item x="29"/>
        <item x="214"/>
        <item x="73"/>
        <item x="27"/>
        <item x="34"/>
        <item x="189"/>
        <item x="254"/>
        <item x="215"/>
        <item x="337"/>
        <item x="17"/>
        <item x="231"/>
        <item x="38"/>
        <item x="229"/>
        <item x="142"/>
        <item x="182"/>
        <item x="115"/>
        <item x="128"/>
        <item x="202"/>
        <item x="120"/>
        <item x="106"/>
        <item x="188"/>
        <item x="175"/>
        <item x="2"/>
        <item x="199"/>
        <item x="291"/>
        <item x="9"/>
        <item x="262"/>
        <item x="42"/>
        <item x="256"/>
        <item x="157"/>
        <item x="78"/>
        <item x="174"/>
        <item x="250"/>
        <item x="303"/>
        <item x="134"/>
        <item x="266"/>
        <item x="300"/>
        <item x="109"/>
        <item x="308"/>
        <item x="253"/>
        <item x="122"/>
        <item x="183"/>
        <item x="280"/>
        <item x="76"/>
        <item x="155"/>
        <item x="228"/>
        <item x="102"/>
        <item x="225"/>
        <item x="40"/>
        <item x="248"/>
        <item x="4"/>
        <item x="287"/>
        <item x="127"/>
        <item x="307"/>
        <item x="15"/>
        <item x="11"/>
        <item x="267"/>
        <item x="85"/>
        <item x="244"/>
        <item x="219"/>
        <item x="124"/>
        <item x="194"/>
        <item x="242"/>
        <item x="170"/>
        <item x="161"/>
        <item x="232"/>
        <item x="51"/>
        <item x="104"/>
        <item x="113"/>
        <item x="98"/>
        <item x="0"/>
        <item x="10"/>
        <item x="68"/>
        <item x="237"/>
        <item x="141"/>
        <item x="207"/>
        <item x="57"/>
        <item x="198"/>
        <item x="239"/>
        <item x="50"/>
        <item x="246"/>
        <item x="1"/>
        <item x="114"/>
        <item x="282"/>
        <item x="3"/>
        <item x="211"/>
        <item x="5"/>
        <item x="12"/>
        <item x="13"/>
        <item x="8"/>
        <item x="7"/>
        <item x="16"/>
        <item x="20"/>
        <item x="21"/>
        <item x="22"/>
        <item x="23"/>
        <item x="26"/>
        <item x="24"/>
        <item x="25"/>
        <item x="28"/>
        <item x="30"/>
        <item x="31"/>
        <item x="32"/>
        <item x="35"/>
        <item x="41"/>
        <item x="37"/>
        <item x="36"/>
        <item x="44"/>
        <item x="49"/>
        <item x="52"/>
        <item x="53"/>
        <item x="54"/>
        <item x="56"/>
        <item x="58"/>
        <item x="60"/>
        <item x="61"/>
        <item x="63"/>
        <item x="64"/>
        <item x="65"/>
        <item x="66"/>
        <item x="67"/>
        <item x="69"/>
        <item x="70"/>
        <item x="71"/>
        <item x="72"/>
        <item x="74"/>
        <item x="75"/>
        <item x="79"/>
        <item x="80"/>
        <item x="81"/>
        <item x="82"/>
        <item x="83"/>
        <item x="86"/>
        <item x="87"/>
        <item x="88"/>
        <item x="89"/>
        <item x="90"/>
        <item x="91"/>
        <item x="92"/>
        <item x="93"/>
        <item x="94"/>
        <item x="95"/>
        <item x="96"/>
        <item x="99"/>
        <item x="101"/>
        <item x="103"/>
        <item x="105"/>
        <item x="107"/>
        <item x="108"/>
        <item x="110"/>
        <item x="111"/>
        <item x="116"/>
        <item x="117"/>
        <item x="118"/>
        <item x="119"/>
        <item x="121"/>
        <item x="123"/>
        <item x="125"/>
        <item x="126"/>
        <item x="129"/>
        <item x="130"/>
        <item x="131"/>
        <item x="132"/>
        <item x="133"/>
        <item x="135"/>
        <item x="136"/>
        <item x="137"/>
        <item x="153"/>
        <item x="154"/>
        <item x="152"/>
        <item x="151"/>
        <item x="147"/>
        <item x="146"/>
        <item x="145"/>
        <item x="144"/>
        <item x="143"/>
        <item x="140"/>
        <item x="139"/>
        <item x="138"/>
        <item x="292"/>
        <item x="14"/>
        <item x="176"/>
        <item x="164"/>
        <item x="317"/>
        <item x="221"/>
        <item x="330"/>
        <item x="332"/>
        <item x="251"/>
        <item x="62"/>
        <item x="19"/>
        <item x="43"/>
        <item x="187"/>
        <item x="149"/>
        <item x="208"/>
        <item x="6"/>
        <item x="234"/>
        <item x="148"/>
        <item x="150"/>
        <item x="156"/>
        <item x="158"/>
        <item x="159"/>
        <item x="160"/>
        <item x="162"/>
        <item x="163"/>
        <item x="168"/>
        <item x="172"/>
        <item x="173"/>
        <item x="181"/>
        <item x="177"/>
        <item x="178"/>
        <item x="302"/>
        <item x="179"/>
        <item x="180"/>
        <item x="184"/>
        <item x="185"/>
        <item x="190"/>
        <item x="191"/>
        <item x="193"/>
        <item x="195"/>
        <item x="196"/>
        <item x="200"/>
        <item x="203"/>
        <item x="201"/>
        <item x="204"/>
        <item x="205"/>
        <item x="206"/>
        <item x="209"/>
        <item x="210"/>
        <item x="216"/>
        <item x="217"/>
        <item x="220"/>
        <item x="223"/>
        <item x="224"/>
        <item x="226"/>
        <item x="227"/>
        <item x="230"/>
        <item x="235"/>
        <item x="236"/>
        <item x="241"/>
        <item x="243"/>
        <item x="245"/>
        <item x="247"/>
        <item x="249"/>
        <item x="252"/>
        <item x="255"/>
        <item x="257"/>
        <item x="258"/>
        <item x="259"/>
        <item x="261"/>
        <item x="260"/>
        <item x="263"/>
        <item x="264"/>
        <item x="265"/>
        <item x="268"/>
        <item x="269"/>
        <item x="270"/>
        <item x="271"/>
        <item x="272"/>
        <item x="274"/>
        <item x="275"/>
        <item x="276"/>
        <item x="277"/>
        <item x="278"/>
        <item x="279"/>
        <item x="283"/>
        <item x="284"/>
        <item x="285"/>
        <item x="288"/>
        <item x="289"/>
        <item x="290"/>
        <item x="309"/>
        <item x="293"/>
        <item x="294"/>
        <item x="295"/>
        <item x="296"/>
        <item x="297"/>
        <item x="298"/>
        <item x="301"/>
        <item x="304"/>
        <item x="306"/>
        <item x="310"/>
        <item x="311"/>
        <item x="312"/>
        <item x="313"/>
        <item x="314"/>
        <item x="315"/>
        <item x="316"/>
        <item x="318"/>
        <item x="319"/>
        <item x="320"/>
        <item x="322"/>
        <item x="323"/>
        <item x="324"/>
        <item x="325"/>
        <item x="326"/>
        <item x="329"/>
        <item x="331"/>
        <item x="333"/>
        <item x="334"/>
        <item x="335"/>
        <item x="336"/>
        <item x="338"/>
        <item x="100"/>
        <item x="3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3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numFmtId="3" showAl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numFmtId="3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numFmtId="3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11">
    <i>
      <x v="43"/>
    </i>
    <i>
      <x v="73"/>
    </i>
    <i>
      <x v="222"/>
    </i>
    <i>
      <x v="40"/>
    </i>
    <i>
      <x v="72"/>
    </i>
    <i>
      <x v="142"/>
    </i>
    <i>
      <x v="10"/>
    </i>
    <i>
      <x v="312"/>
    </i>
    <i>
      <x v="24"/>
    </i>
    <i>
      <x v="34"/>
    </i>
    <i t="grand">
      <x/>
    </i>
  </rowItems>
  <colItems count="1">
    <i/>
  </colItems>
  <dataFields count="1">
    <dataField name="Sum of Sales Amt" fld="7" baseField="0" baseItem="0"/>
  </dataFields>
  <formats count="2">
    <format dxfId="2">
      <pivotArea outline="0" collapsedLevelsAreSubtotals="1" fieldPosition="0">
        <references count="1">
          <reference field="4" count="10" selected="0">
            <x v="10"/>
            <x v="24"/>
            <x v="34"/>
            <x v="40"/>
            <x v="43"/>
            <x v="72"/>
            <x v="73"/>
            <x v="142"/>
            <x v="222"/>
            <x v="312"/>
          </reference>
        </references>
      </pivotArea>
    </format>
    <format dxfId="3">
      <pivotArea grandRow="1" outline="0" collapsedLevelsAreSubtotals="1" fieldPosition="0"/>
    </format>
  </formats>
  <pivotTableStyleInfo name="PivotStyleLight16" showRowHeaders="1" showColHeaders="1" showLastColumn="1"/>
  <filters count="1">
    <filter evalOrder="-1" fld="4" iMeasureFld="0" id="3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4" minRefreshableVersion="3" createdVersion="4" useAutoFormatting="1" compact="0" indent="0" compactData="0" showDrill="1" multipleFieldFilters="0">
  <location ref="AB3:AE11" firstHeaderRow="0" firstDataRow="1" firstDataCol="1"/>
  <pivotFields count="9">
    <pivotField compact="0" defaultSubtotal="0" outline="0" numFmtId="58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>
      <items count="7">
        <item x="4"/>
        <item x="2"/>
        <item x="1"/>
        <item x="5"/>
        <item x="0"/>
        <item x="6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339">
        <item x="272"/>
        <item x="191"/>
        <item x="108"/>
        <item x="39"/>
        <item x="79"/>
        <item x="168"/>
        <item x="252"/>
        <item x="270"/>
        <item x="3"/>
        <item x="211"/>
        <item x="289"/>
        <item x="294"/>
        <item x="239"/>
        <item x="95"/>
        <item x="209"/>
        <item x="82"/>
        <item x="262"/>
        <item x="260"/>
        <item x="255"/>
        <item x="34"/>
        <item x="286"/>
        <item x="271"/>
        <item x="333"/>
        <item x="265"/>
        <item x="313"/>
        <item x="24"/>
        <item x="192"/>
        <item x="56"/>
        <item x="188"/>
        <item x="283"/>
        <item x="202"/>
        <item x="303"/>
        <item x="204"/>
        <item x="275"/>
        <item x="296"/>
        <item x="106"/>
        <item x="194"/>
        <item x="134"/>
        <item x="231"/>
        <item x="11"/>
        <item x="326"/>
        <item x="205"/>
        <item x="169"/>
        <item x="304"/>
        <item x="21"/>
        <item x="208"/>
        <item x="1"/>
        <item x="257"/>
        <item x="116"/>
        <item x="138"/>
        <item x="295"/>
        <item x="299"/>
        <item x="179"/>
        <item x="20"/>
        <item x="65"/>
        <item x="52"/>
        <item x="200"/>
        <item x="59"/>
        <item x="53"/>
        <item x="15"/>
        <item x="332"/>
        <item x="93"/>
        <item x="70"/>
        <item x="58"/>
        <item x="36"/>
        <item x="297"/>
        <item x="219"/>
        <item x="291"/>
        <item x="285"/>
        <item x="122"/>
        <item x="181"/>
        <item x="88"/>
        <item x="222"/>
        <item x="114"/>
        <item x="335"/>
        <item x="73"/>
        <item x="74"/>
        <item x="292"/>
        <item x="309"/>
        <item x="207"/>
        <item x="16"/>
        <item x="40"/>
        <item x="48"/>
        <item x="288"/>
        <item x="50"/>
        <item x="47"/>
        <item x="33"/>
        <item x="35"/>
        <item x="61"/>
        <item x="123"/>
        <item x="62"/>
        <item x="213"/>
        <item x="4"/>
        <item x="268"/>
        <item x="5"/>
        <item x="266"/>
        <item x="206"/>
        <item x="14"/>
        <item x="130"/>
        <item x="273"/>
        <item x="166"/>
        <item x="242"/>
        <item x="182"/>
        <item x="249"/>
        <item x="180"/>
        <item x="250"/>
        <item x="131"/>
        <item x="57"/>
        <item x="99"/>
        <item x="37"/>
        <item x="225"/>
        <item x="258"/>
        <item x="324"/>
        <item x="151"/>
        <item x="203"/>
        <item x="22"/>
        <item x="42"/>
        <item x="155"/>
        <item x="156"/>
        <item x="64"/>
        <item x="287"/>
        <item x="67"/>
        <item x="41"/>
        <item x="12"/>
        <item x="277"/>
        <item x="278"/>
        <item x="170"/>
        <item x="164"/>
        <item x="135"/>
        <item x="165"/>
        <item x="54"/>
        <item x="75"/>
        <item x="254"/>
        <item x="274"/>
        <item x="214"/>
        <item x="66"/>
        <item x="160"/>
        <item x="32"/>
        <item x="43"/>
        <item x="44"/>
        <item x="83"/>
        <item x="145"/>
        <item x="104"/>
        <item x="189"/>
        <item x="229"/>
        <item x="6"/>
        <item x="190"/>
        <item x="263"/>
        <item x="247"/>
        <item x="248"/>
        <item x="154"/>
        <item x="13"/>
        <item x="244"/>
        <item x="316"/>
        <item x="72"/>
        <item x="264"/>
        <item x="112"/>
        <item x="101"/>
        <item x="113"/>
        <item x="102"/>
        <item x="91"/>
        <item x="19"/>
        <item x="315"/>
        <item x="195"/>
        <item x="253"/>
        <item x="236"/>
        <item x="212"/>
        <item x="269"/>
        <item x="109"/>
        <item x="329"/>
        <item x="280"/>
        <item x="322"/>
        <item x="147"/>
        <item x="331"/>
        <item x="80"/>
        <item x="87"/>
        <item x="125"/>
        <item x="167"/>
        <item x="148"/>
        <item x="334"/>
        <item x="46"/>
        <item x="223"/>
        <item x="141"/>
        <item x="220"/>
        <item x="337"/>
        <item x="183"/>
        <item x="150"/>
        <item x="196"/>
        <item x="81"/>
        <item x="149"/>
        <item x="51"/>
        <item x="126"/>
        <item x="146"/>
        <item x="284"/>
        <item x="139"/>
        <item x="140"/>
        <item x="136"/>
        <item x="293"/>
        <item x="153"/>
        <item x="174"/>
        <item x="119"/>
        <item x="184"/>
        <item x="17"/>
        <item x="127"/>
        <item x="49"/>
        <item x="328"/>
        <item x="84"/>
        <item x="63"/>
        <item x="92"/>
        <item x="215"/>
        <item x="120"/>
        <item x="237"/>
        <item x="94"/>
        <item x="216"/>
        <item x="143"/>
        <item x="226"/>
        <item x="176"/>
        <item x="279"/>
        <item x="234"/>
        <item x="171"/>
        <item x="245"/>
        <item x="246"/>
        <item x="137"/>
        <item x="298"/>
        <item x="319"/>
        <item x="327"/>
        <item x="317"/>
        <item x="142"/>
        <item x="281"/>
        <item x="68"/>
        <item x="305"/>
        <item x="301"/>
        <item x="238"/>
        <item x="233"/>
        <item x="310"/>
        <item x="133"/>
        <item x="320"/>
        <item x="338"/>
        <item x="312"/>
        <item x="325"/>
        <item x="217"/>
        <item x="307"/>
        <item x="241"/>
        <item x="117"/>
        <item x="290"/>
        <item x="243"/>
        <item x="121"/>
        <item x="107"/>
        <item x="318"/>
        <item x="124"/>
        <item x="69"/>
        <item x="282"/>
        <item x="177"/>
        <item x="306"/>
        <item x="96"/>
        <item x="97"/>
        <item x="30"/>
        <item x="55"/>
        <item x="251"/>
        <item x="29"/>
        <item x="28"/>
        <item x="261"/>
        <item x="132"/>
        <item x="172"/>
        <item x="23"/>
        <item x="86"/>
        <item x="7"/>
        <item x="90"/>
        <item x="240"/>
        <item x="330"/>
        <item x="311"/>
        <item x="103"/>
        <item x="321"/>
        <item x="323"/>
        <item x="128"/>
        <item x="76"/>
        <item x="224"/>
        <item x="31"/>
        <item x="157"/>
        <item x="158"/>
        <item x="159"/>
        <item x="25"/>
        <item x="197"/>
        <item x="221"/>
        <item x="187"/>
        <item x="173"/>
        <item x="144"/>
        <item x="308"/>
        <item x="300"/>
        <item x="302"/>
        <item x="267"/>
        <item x="256"/>
        <item x="18"/>
        <item x="235"/>
        <item x="129"/>
        <item x="210"/>
        <item x="98"/>
        <item x="105"/>
        <item x="175"/>
        <item x="230"/>
        <item x="2"/>
        <item x="115"/>
        <item x="152"/>
        <item x="161"/>
        <item x="336"/>
        <item x="71"/>
        <item x="38"/>
        <item x="9"/>
        <item x="8"/>
        <item x="185"/>
        <item x="314"/>
        <item x="10"/>
        <item x="162"/>
        <item x="0"/>
        <item x="201"/>
        <item x="227"/>
        <item x="178"/>
        <item x="45"/>
        <item x="89"/>
        <item x="259"/>
        <item x="111"/>
        <item x="110"/>
        <item x="228"/>
        <item x="163"/>
        <item x="100"/>
        <item x="85"/>
        <item x="198"/>
        <item x="276"/>
        <item x="193"/>
        <item x="199"/>
        <item x="232"/>
        <item x="186"/>
        <item x="218"/>
        <item x="60"/>
        <item x="118"/>
        <item x="77"/>
        <item x="78"/>
        <item x="26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339">
        <item x="165"/>
        <item x="286"/>
        <item x="48"/>
        <item x="321"/>
        <item x="212"/>
        <item x="84"/>
        <item x="305"/>
        <item x="18"/>
        <item x="238"/>
        <item x="328"/>
        <item x="97"/>
        <item x="186"/>
        <item x="233"/>
        <item x="33"/>
        <item x="222"/>
        <item x="169"/>
        <item x="59"/>
        <item x="46"/>
        <item x="273"/>
        <item x="299"/>
        <item x="45"/>
        <item x="47"/>
        <item x="167"/>
        <item x="327"/>
        <item x="213"/>
        <item x="197"/>
        <item x="171"/>
        <item x="218"/>
        <item x="77"/>
        <item x="192"/>
        <item x="166"/>
        <item x="55"/>
        <item x="281"/>
        <item x="112"/>
        <item x="240"/>
        <item x="29"/>
        <item x="214"/>
        <item x="73"/>
        <item x="27"/>
        <item x="34"/>
        <item x="189"/>
        <item x="254"/>
        <item x="215"/>
        <item x="337"/>
        <item x="17"/>
        <item x="231"/>
        <item x="38"/>
        <item x="229"/>
        <item x="142"/>
        <item x="182"/>
        <item x="115"/>
        <item x="128"/>
        <item x="202"/>
        <item x="120"/>
        <item x="106"/>
        <item x="188"/>
        <item x="175"/>
        <item x="2"/>
        <item x="199"/>
        <item x="291"/>
        <item x="9"/>
        <item x="262"/>
        <item x="42"/>
        <item x="256"/>
        <item x="157"/>
        <item x="78"/>
        <item x="174"/>
        <item x="250"/>
        <item x="303"/>
        <item x="134"/>
        <item x="266"/>
        <item x="300"/>
        <item x="109"/>
        <item x="308"/>
        <item x="253"/>
        <item x="122"/>
        <item x="183"/>
        <item x="280"/>
        <item x="76"/>
        <item x="155"/>
        <item x="228"/>
        <item x="102"/>
        <item x="225"/>
        <item x="40"/>
        <item x="248"/>
        <item x="4"/>
        <item x="287"/>
        <item x="127"/>
        <item x="307"/>
        <item x="15"/>
        <item x="11"/>
        <item x="267"/>
        <item x="85"/>
        <item x="244"/>
        <item x="219"/>
        <item x="124"/>
        <item x="194"/>
        <item x="242"/>
        <item x="170"/>
        <item x="161"/>
        <item x="232"/>
        <item x="51"/>
        <item x="104"/>
        <item x="113"/>
        <item x="98"/>
        <item x="0"/>
        <item x="10"/>
        <item x="68"/>
        <item x="237"/>
        <item x="141"/>
        <item x="207"/>
        <item x="57"/>
        <item x="198"/>
        <item x="239"/>
        <item x="50"/>
        <item x="246"/>
        <item x="1"/>
        <item x="114"/>
        <item x="282"/>
        <item x="3"/>
        <item x="211"/>
        <item x="5"/>
        <item x="12"/>
        <item x="13"/>
        <item x="8"/>
        <item x="7"/>
        <item x="16"/>
        <item x="20"/>
        <item x="21"/>
        <item x="22"/>
        <item x="23"/>
        <item x="26"/>
        <item x="24"/>
        <item x="25"/>
        <item x="28"/>
        <item x="30"/>
        <item x="31"/>
        <item x="32"/>
        <item x="35"/>
        <item x="41"/>
        <item x="37"/>
        <item x="36"/>
        <item x="44"/>
        <item x="49"/>
        <item x="52"/>
        <item x="53"/>
        <item x="54"/>
        <item x="56"/>
        <item x="58"/>
        <item x="60"/>
        <item x="61"/>
        <item x="63"/>
        <item x="64"/>
        <item x="65"/>
        <item x="66"/>
        <item x="67"/>
        <item x="69"/>
        <item x="70"/>
        <item x="71"/>
        <item x="72"/>
        <item x="74"/>
        <item x="75"/>
        <item x="79"/>
        <item x="80"/>
        <item x="81"/>
        <item x="82"/>
        <item x="83"/>
        <item x="86"/>
        <item x="87"/>
        <item x="88"/>
        <item x="89"/>
        <item x="90"/>
        <item x="91"/>
        <item x="92"/>
        <item x="93"/>
        <item x="94"/>
        <item x="95"/>
        <item x="96"/>
        <item x="99"/>
        <item x="101"/>
        <item x="103"/>
        <item x="105"/>
        <item x="107"/>
        <item x="108"/>
        <item x="110"/>
        <item x="111"/>
        <item x="116"/>
        <item x="117"/>
        <item x="118"/>
        <item x="119"/>
        <item x="121"/>
        <item x="123"/>
        <item x="125"/>
        <item x="126"/>
        <item x="129"/>
        <item x="130"/>
        <item x="131"/>
        <item x="132"/>
        <item x="133"/>
        <item x="135"/>
        <item x="136"/>
        <item x="137"/>
        <item x="153"/>
        <item x="154"/>
        <item x="152"/>
        <item x="151"/>
        <item x="147"/>
        <item x="146"/>
        <item x="145"/>
        <item x="144"/>
        <item x="143"/>
        <item x="140"/>
        <item x="139"/>
        <item x="138"/>
        <item x="292"/>
        <item x="14"/>
        <item x="176"/>
        <item x="164"/>
        <item x="317"/>
        <item x="221"/>
        <item x="330"/>
        <item x="332"/>
        <item x="251"/>
        <item x="62"/>
        <item x="19"/>
        <item x="43"/>
        <item x="187"/>
        <item x="149"/>
        <item x="208"/>
        <item x="6"/>
        <item x="234"/>
        <item x="148"/>
        <item x="150"/>
        <item x="156"/>
        <item x="158"/>
        <item x="159"/>
        <item x="160"/>
        <item x="162"/>
        <item x="163"/>
        <item x="168"/>
        <item x="172"/>
        <item x="173"/>
        <item x="181"/>
        <item x="177"/>
        <item x="178"/>
        <item x="302"/>
        <item x="179"/>
        <item x="180"/>
        <item x="184"/>
        <item x="185"/>
        <item x="190"/>
        <item x="191"/>
        <item x="193"/>
        <item x="195"/>
        <item x="196"/>
        <item x="200"/>
        <item x="203"/>
        <item x="201"/>
        <item x="204"/>
        <item x="205"/>
        <item x="206"/>
        <item x="209"/>
        <item x="210"/>
        <item x="216"/>
        <item x="217"/>
        <item x="220"/>
        <item x="223"/>
        <item x="224"/>
        <item x="226"/>
        <item x="227"/>
        <item x="230"/>
        <item x="235"/>
        <item x="236"/>
        <item x="241"/>
        <item x="243"/>
        <item x="245"/>
        <item x="247"/>
        <item x="249"/>
        <item x="252"/>
        <item x="255"/>
        <item x="257"/>
        <item x="258"/>
        <item x="259"/>
        <item x="261"/>
        <item x="260"/>
        <item x="263"/>
        <item x="264"/>
        <item x="265"/>
        <item x="268"/>
        <item x="269"/>
        <item x="270"/>
        <item x="271"/>
        <item x="272"/>
        <item x="274"/>
        <item x="275"/>
        <item x="276"/>
        <item x="277"/>
        <item x="278"/>
        <item x="279"/>
        <item x="283"/>
        <item x="284"/>
        <item x="285"/>
        <item x="288"/>
        <item x="289"/>
        <item x="290"/>
        <item x="309"/>
        <item x="293"/>
        <item x="294"/>
        <item x="295"/>
        <item x="296"/>
        <item x="297"/>
        <item x="298"/>
        <item x="301"/>
        <item x="304"/>
        <item x="306"/>
        <item x="310"/>
        <item x="311"/>
        <item x="312"/>
        <item x="313"/>
        <item x="314"/>
        <item x="315"/>
        <item x="316"/>
        <item x="318"/>
        <item x="319"/>
        <item x="320"/>
        <item x="322"/>
        <item x="323"/>
        <item x="324"/>
        <item x="325"/>
        <item x="326"/>
        <item x="329"/>
        <item x="331"/>
        <item x="333"/>
        <item x="334"/>
        <item x="335"/>
        <item x="336"/>
        <item x="338"/>
        <item x="100"/>
        <item x="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showAll="0">
      <items count="3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numFmtId="3" showAl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numFmtId="3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numFmtId="3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Invoice" fld="5" subtotal="count" baseField="0" baseItem="0"/>
    <dataField name="Sum of Sales Qty" fld="6" baseField="1" baseItem="0"/>
    <dataField name="Sum of Sales Amt" fld="7" baseField="0" baseItem="0"/>
  </dataFields>
  <formats count="2">
    <format dxfId="4">
      <pivotArea outline="0" collapsedLevelsAreSubtotals="1" fieldPosition="0">
        <references count="2">
          <reference field="4294967294" count="1" selected="0">
            <x v="2"/>
          </reference>
          <reference field="1" count="0" selected="0"/>
        </references>
      </pivotArea>
    </format>
    <format dxfId="5">
      <pivotArea grandRow="1"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4" minRefreshableVersion="3" createdVersion="4" useAutoFormatting="1" compact="0" indent="0" compactData="0" showDrill="1" multipleFieldFilters="0" chartFormat="4">
  <location ref="V3:W15" firstHeaderRow="1" firstDataRow="1" firstDataCol="1"/>
  <pivotFields count="9">
    <pivotField compact="0" defaultSubtotal="0" outline="0" numFmtId="58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7">
        <item x="4"/>
        <item x="2"/>
        <item x="1"/>
        <item x="5"/>
        <item x="0"/>
        <item x="6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measureFilter="1" compact="0" sortType="descending" defaultSubtotal="0" outline="0" showAll="0">
      <items count="339">
        <item x="272"/>
        <item x="191"/>
        <item x="108"/>
        <item x="39"/>
        <item x="79"/>
        <item x="168"/>
        <item x="252"/>
        <item x="270"/>
        <item x="3"/>
        <item x="211"/>
        <item x="289"/>
        <item x="294"/>
        <item x="239"/>
        <item x="95"/>
        <item x="209"/>
        <item x="82"/>
        <item x="262"/>
        <item x="260"/>
        <item x="255"/>
        <item x="34"/>
        <item x="286"/>
        <item x="271"/>
        <item x="333"/>
        <item x="265"/>
        <item x="313"/>
        <item x="24"/>
        <item x="192"/>
        <item x="56"/>
        <item x="188"/>
        <item x="283"/>
        <item x="202"/>
        <item x="303"/>
        <item x="204"/>
        <item x="275"/>
        <item x="296"/>
        <item x="106"/>
        <item x="194"/>
        <item x="134"/>
        <item x="231"/>
        <item x="11"/>
        <item x="326"/>
        <item x="205"/>
        <item x="169"/>
        <item x="304"/>
        <item x="21"/>
        <item x="208"/>
        <item x="1"/>
        <item x="257"/>
        <item x="116"/>
        <item x="138"/>
        <item x="295"/>
        <item x="299"/>
        <item x="179"/>
        <item x="20"/>
        <item x="65"/>
        <item x="52"/>
        <item x="200"/>
        <item x="59"/>
        <item x="53"/>
        <item x="15"/>
        <item x="332"/>
        <item x="93"/>
        <item x="70"/>
        <item x="58"/>
        <item x="36"/>
        <item x="297"/>
        <item x="219"/>
        <item x="291"/>
        <item x="285"/>
        <item x="122"/>
        <item x="181"/>
        <item x="88"/>
        <item x="222"/>
        <item x="114"/>
        <item x="335"/>
        <item x="73"/>
        <item x="74"/>
        <item x="292"/>
        <item x="309"/>
        <item x="207"/>
        <item x="16"/>
        <item x="40"/>
        <item x="48"/>
        <item x="288"/>
        <item x="50"/>
        <item x="47"/>
        <item x="33"/>
        <item x="35"/>
        <item x="61"/>
        <item x="123"/>
        <item x="62"/>
        <item x="213"/>
        <item x="4"/>
        <item x="268"/>
        <item x="5"/>
        <item x="266"/>
        <item x="206"/>
        <item x="14"/>
        <item x="130"/>
        <item x="273"/>
        <item x="166"/>
        <item x="242"/>
        <item x="182"/>
        <item x="249"/>
        <item x="180"/>
        <item x="250"/>
        <item x="131"/>
        <item x="57"/>
        <item x="99"/>
        <item x="37"/>
        <item x="225"/>
        <item x="258"/>
        <item x="324"/>
        <item x="151"/>
        <item x="203"/>
        <item x="22"/>
        <item x="42"/>
        <item x="155"/>
        <item x="156"/>
        <item x="64"/>
        <item x="287"/>
        <item x="67"/>
        <item x="41"/>
        <item x="12"/>
        <item x="277"/>
        <item x="278"/>
        <item x="170"/>
        <item x="164"/>
        <item x="135"/>
        <item x="165"/>
        <item x="54"/>
        <item x="75"/>
        <item x="254"/>
        <item x="274"/>
        <item x="214"/>
        <item x="66"/>
        <item x="160"/>
        <item x="32"/>
        <item x="43"/>
        <item x="44"/>
        <item x="83"/>
        <item x="145"/>
        <item x="104"/>
        <item x="189"/>
        <item x="229"/>
        <item x="6"/>
        <item x="190"/>
        <item x="263"/>
        <item x="247"/>
        <item x="248"/>
        <item x="154"/>
        <item x="13"/>
        <item x="244"/>
        <item x="316"/>
        <item x="72"/>
        <item x="264"/>
        <item x="112"/>
        <item x="101"/>
        <item x="113"/>
        <item x="102"/>
        <item x="91"/>
        <item x="19"/>
        <item x="315"/>
        <item x="195"/>
        <item x="253"/>
        <item x="236"/>
        <item x="212"/>
        <item x="269"/>
        <item x="109"/>
        <item x="329"/>
        <item x="280"/>
        <item x="322"/>
        <item x="147"/>
        <item x="331"/>
        <item x="80"/>
        <item x="87"/>
        <item x="125"/>
        <item x="167"/>
        <item x="148"/>
        <item x="334"/>
        <item x="46"/>
        <item x="223"/>
        <item x="141"/>
        <item x="220"/>
        <item x="337"/>
        <item x="183"/>
        <item x="150"/>
        <item x="196"/>
        <item x="81"/>
        <item x="149"/>
        <item x="51"/>
        <item x="126"/>
        <item x="146"/>
        <item x="284"/>
        <item x="139"/>
        <item x="140"/>
        <item x="136"/>
        <item x="293"/>
        <item x="153"/>
        <item x="174"/>
        <item x="119"/>
        <item x="184"/>
        <item x="17"/>
        <item x="127"/>
        <item x="49"/>
        <item x="328"/>
        <item x="84"/>
        <item x="63"/>
        <item x="92"/>
        <item x="215"/>
        <item x="120"/>
        <item x="237"/>
        <item x="94"/>
        <item x="216"/>
        <item x="143"/>
        <item x="226"/>
        <item x="176"/>
        <item x="279"/>
        <item x="234"/>
        <item x="171"/>
        <item x="245"/>
        <item x="246"/>
        <item x="137"/>
        <item x="298"/>
        <item x="319"/>
        <item x="327"/>
        <item x="317"/>
        <item x="142"/>
        <item x="281"/>
        <item x="68"/>
        <item x="305"/>
        <item x="301"/>
        <item x="238"/>
        <item x="233"/>
        <item x="310"/>
        <item x="133"/>
        <item x="320"/>
        <item x="338"/>
        <item x="312"/>
        <item x="325"/>
        <item x="217"/>
        <item x="307"/>
        <item x="241"/>
        <item x="117"/>
        <item x="290"/>
        <item x="243"/>
        <item x="121"/>
        <item x="107"/>
        <item x="318"/>
        <item x="124"/>
        <item x="69"/>
        <item x="282"/>
        <item x="177"/>
        <item x="306"/>
        <item x="96"/>
        <item x="97"/>
        <item x="30"/>
        <item x="55"/>
        <item x="251"/>
        <item x="29"/>
        <item x="28"/>
        <item x="261"/>
        <item x="132"/>
        <item x="172"/>
        <item x="23"/>
        <item x="86"/>
        <item x="7"/>
        <item x="90"/>
        <item x="240"/>
        <item x="330"/>
        <item x="311"/>
        <item x="103"/>
        <item x="321"/>
        <item x="323"/>
        <item x="128"/>
        <item x="76"/>
        <item x="224"/>
        <item x="31"/>
        <item x="157"/>
        <item x="158"/>
        <item x="159"/>
        <item x="25"/>
        <item x="197"/>
        <item x="221"/>
        <item x="187"/>
        <item x="173"/>
        <item x="144"/>
        <item x="308"/>
        <item x="300"/>
        <item x="302"/>
        <item x="267"/>
        <item x="256"/>
        <item x="18"/>
        <item x="235"/>
        <item x="129"/>
        <item x="210"/>
        <item x="98"/>
        <item x="105"/>
        <item x="175"/>
        <item x="230"/>
        <item x="2"/>
        <item x="115"/>
        <item x="152"/>
        <item x="161"/>
        <item x="336"/>
        <item x="71"/>
        <item x="38"/>
        <item x="9"/>
        <item x="8"/>
        <item x="185"/>
        <item x="314"/>
        <item x="10"/>
        <item x="162"/>
        <item x="0"/>
        <item x="201"/>
        <item x="227"/>
        <item x="178"/>
        <item x="45"/>
        <item x="89"/>
        <item x="259"/>
        <item x="111"/>
        <item x="110"/>
        <item x="228"/>
        <item x="163"/>
        <item x="100"/>
        <item x="85"/>
        <item x="198"/>
        <item x="276"/>
        <item x="193"/>
        <item x="199"/>
        <item x="232"/>
        <item x="186"/>
        <item x="218"/>
        <item x="60"/>
        <item x="118"/>
        <item x="77"/>
        <item x="78"/>
        <item x="26"/>
        <item x="2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339">
        <item x="165"/>
        <item x="286"/>
        <item x="48"/>
        <item x="321"/>
        <item x="212"/>
        <item x="84"/>
        <item x="305"/>
        <item x="18"/>
        <item x="238"/>
        <item x="328"/>
        <item x="97"/>
        <item x="186"/>
        <item x="233"/>
        <item x="33"/>
        <item x="222"/>
        <item x="169"/>
        <item x="59"/>
        <item x="46"/>
        <item x="273"/>
        <item x="299"/>
        <item x="45"/>
        <item x="47"/>
        <item x="167"/>
        <item x="327"/>
        <item x="213"/>
        <item x="197"/>
        <item x="171"/>
        <item x="218"/>
        <item x="77"/>
        <item x="192"/>
        <item x="166"/>
        <item x="55"/>
        <item x="281"/>
        <item x="112"/>
        <item x="240"/>
        <item x="29"/>
        <item x="214"/>
        <item x="73"/>
        <item x="27"/>
        <item x="34"/>
        <item x="189"/>
        <item x="254"/>
        <item x="215"/>
        <item x="337"/>
        <item x="17"/>
        <item x="231"/>
        <item x="38"/>
        <item x="229"/>
        <item x="142"/>
        <item x="182"/>
        <item x="115"/>
        <item x="128"/>
        <item x="202"/>
        <item x="120"/>
        <item x="106"/>
        <item x="188"/>
        <item x="175"/>
        <item x="2"/>
        <item x="199"/>
        <item x="291"/>
        <item x="9"/>
        <item x="262"/>
        <item x="42"/>
        <item x="256"/>
        <item x="157"/>
        <item x="78"/>
        <item x="174"/>
        <item x="250"/>
        <item x="303"/>
        <item x="134"/>
        <item x="266"/>
        <item x="300"/>
        <item x="109"/>
        <item x="308"/>
        <item x="253"/>
        <item x="122"/>
        <item x="183"/>
        <item x="280"/>
        <item x="76"/>
        <item x="155"/>
        <item x="228"/>
        <item x="102"/>
        <item x="225"/>
        <item x="40"/>
        <item x="248"/>
        <item x="4"/>
        <item x="287"/>
        <item x="127"/>
        <item x="307"/>
        <item x="15"/>
        <item x="11"/>
        <item x="267"/>
        <item x="85"/>
        <item x="244"/>
        <item x="219"/>
        <item x="124"/>
        <item x="194"/>
        <item x="242"/>
        <item x="170"/>
        <item x="161"/>
        <item x="232"/>
        <item x="51"/>
        <item x="104"/>
        <item x="113"/>
        <item x="98"/>
        <item x="0"/>
        <item x="10"/>
        <item x="68"/>
        <item x="237"/>
        <item x="141"/>
        <item x="207"/>
        <item x="57"/>
        <item x="198"/>
        <item x="239"/>
        <item x="50"/>
        <item x="246"/>
        <item x="1"/>
        <item x="114"/>
        <item x="282"/>
        <item x="3"/>
        <item x="211"/>
        <item x="5"/>
        <item x="12"/>
        <item x="13"/>
        <item x="8"/>
        <item x="7"/>
        <item x="16"/>
        <item x="20"/>
        <item x="21"/>
        <item x="22"/>
        <item x="23"/>
        <item x="26"/>
        <item x="24"/>
        <item x="25"/>
        <item x="28"/>
        <item x="30"/>
        <item x="31"/>
        <item x="32"/>
        <item x="35"/>
        <item x="41"/>
        <item x="37"/>
        <item x="36"/>
        <item x="44"/>
        <item x="49"/>
        <item x="52"/>
        <item x="53"/>
        <item x="54"/>
        <item x="56"/>
        <item x="58"/>
        <item x="60"/>
        <item x="61"/>
        <item x="63"/>
        <item x="64"/>
        <item x="65"/>
        <item x="66"/>
        <item x="67"/>
        <item x="69"/>
        <item x="70"/>
        <item x="71"/>
        <item x="72"/>
        <item x="74"/>
        <item x="75"/>
        <item x="79"/>
        <item x="80"/>
        <item x="81"/>
        <item x="82"/>
        <item x="83"/>
        <item x="86"/>
        <item x="87"/>
        <item x="88"/>
        <item x="89"/>
        <item x="90"/>
        <item x="91"/>
        <item x="92"/>
        <item x="93"/>
        <item x="94"/>
        <item x="95"/>
        <item x="96"/>
        <item x="99"/>
        <item x="101"/>
        <item x="103"/>
        <item x="105"/>
        <item x="107"/>
        <item x="108"/>
        <item x="110"/>
        <item x="111"/>
        <item x="116"/>
        <item x="117"/>
        <item x="118"/>
        <item x="119"/>
        <item x="121"/>
        <item x="123"/>
        <item x="125"/>
        <item x="126"/>
        <item x="129"/>
        <item x="130"/>
        <item x="131"/>
        <item x="132"/>
        <item x="133"/>
        <item x="135"/>
        <item x="136"/>
        <item x="137"/>
        <item x="153"/>
        <item x="154"/>
        <item x="152"/>
        <item x="151"/>
        <item x="147"/>
        <item x="146"/>
        <item x="145"/>
        <item x="144"/>
        <item x="143"/>
        <item x="140"/>
        <item x="139"/>
        <item x="138"/>
        <item x="292"/>
        <item x="14"/>
        <item x="176"/>
        <item x="164"/>
        <item x="317"/>
        <item x="221"/>
        <item x="330"/>
        <item x="332"/>
        <item x="251"/>
        <item x="62"/>
        <item x="19"/>
        <item x="43"/>
        <item x="187"/>
        <item x="149"/>
        <item x="208"/>
        <item x="6"/>
        <item x="234"/>
        <item x="148"/>
        <item x="150"/>
        <item x="156"/>
        <item x="158"/>
        <item x="159"/>
        <item x="160"/>
        <item x="162"/>
        <item x="163"/>
        <item x="168"/>
        <item x="172"/>
        <item x="173"/>
        <item x="181"/>
        <item x="177"/>
        <item x="178"/>
        <item x="302"/>
        <item x="179"/>
        <item x="180"/>
        <item x="184"/>
        <item x="185"/>
        <item x="190"/>
        <item x="191"/>
        <item x="193"/>
        <item x="195"/>
        <item x="196"/>
        <item x="200"/>
        <item x="203"/>
        <item x="201"/>
        <item x="204"/>
        <item x="205"/>
        <item x="206"/>
        <item x="209"/>
        <item x="210"/>
        <item x="216"/>
        <item x="217"/>
        <item x="220"/>
        <item x="223"/>
        <item x="224"/>
        <item x="226"/>
        <item x="227"/>
        <item x="230"/>
        <item x="235"/>
        <item x="236"/>
        <item x="241"/>
        <item x="243"/>
        <item x="245"/>
        <item x="247"/>
        <item x="249"/>
        <item x="252"/>
        <item x="255"/>
        <item x="257"/>
        <item x="258"/>
        <item x="259"/>
        <item x="261"/>
        <item x="260"/>
        <item x="263"/>
        <item x="264"/>
        <item x="265"/>
        <item x="268"/>
        <item x="269"/>
        <item x="270"/>
        <item x="271"/>
        <item x="272"/>
        <item x="274"/>
        <item x="275"/>
        <item x="276"/>
        <item x="277"/>
        <item x="278"/>
        <item x="279"/>
        <item x="283"/>
        <item x="284"/>
        <item x="285"/>
        <item x="288"/>
        <item x="289"/>
        <item x="290"/>
        <item x="309"/>
        <item x="293"/>
        <item x="294"/>
        <item x="295"/>
        <item x="296"/>
        <item x="297"/>
        <item x="298"/>
        <item x="301"/>
        <item x="304"/>
        <item x="306"/>
        <item x="310"/>
        <item x="311"/>
        <item x="312"/>
        <item x="313"/>
        <item x="314"/>
        <item x="315"/>
        <item x="316"/>
        <item x="318"/>
        <item x="319"/>
        <item x="320"/>
        <item x="322"/>
        <item x="323"/>
        <item x="324"/>
        <item x="325"/>
        <item x="326"/>
        <item x="329"/>
        <item x="331"/>
        <item x="333"/>
        <item x="334"/>
        <item x="335"/>
        <item x="336"/>
        <item x="338"/>
        <item x="100"/>
        <item x="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3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numFmtId="3" showAl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numFmtId="3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numFmtId="3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12">
    <i>
      <x v="89"/>
    </i>
    <i>
      <x v="267"/>
    </i>
    <i>
      <x v="300"/>
    </i>
    <i>
      <x v="271"/>
    </i>
    <i>
      <x v="299"/>
    </i>
    <i>
      <x v="80"/>
    </i>
    <i>
      <x v="265"/>
    </i>
    <i>
      <x v="81"/>
    </i>
    <i>
      <x v="192"/>
    </i>
    <i>
      <x v="154"/>
    </i>
    <i>
      <x v="29"/>
    </i>
    <i t="grand">
      <x/>
    </i>
  </rowItems>
  <colItems count="1">
    <i/>
  </colItems>
  <dataFields count="1">
    <dataField name="Sum of Sales Qty" fld="6" baseField="0" baseItem="0"/>
  </dataFields>
  <pivotTableStyleInfo name="PivotStyleLight16" showRowHeaders="1" showColHeaders="1" showLastColumn="1"/>
  <filters count="1">
    <filter evalOrder="-1" fld="3" iMeasureFld="0" id="4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4" minRefreshableVersion="3" createdVersion="4" useAutoFormatting="1" compact="0" indent="0" compactData="0" showDrill="1" multipleFieldFilters="0">
  <location ref="H3:J343" firstHeaderRow="0" firstDataRow="1" firstDataCol="1"/>
  <pivotFields count="9">
    <pivotField compact="0" defaultSubtotal="0" outline="0" numFmtId="58" showAll="0"/>
    <pivotField compact="0" defaultSubtotal="0" outline="0" showAll="0"/>
    <pivotField compact="0" defaultSubtotal="0" outline="0" showAll="0"/>
    <pivotField axis="axisRow" compact="0" defaultSubtotal="0" outline="0" showAll="0">
      <items count="339">
        <item x="272"/>
        <item x="191"/>
        <item x="108"/>
        <item x="39"/>
        <item x="79"/>
        <item x="168"/>
        <item x="252"/>
        <item x="270"/>
        <item x="3"/>
        <item x="211"/>
        <item x="289"/>
        <item x="294"/>
        <item x="239"/>
        <item x="95"/>
        <item x="209"/>
        <item x="82"/>
        <item x="262"/>
        <item x="260"/>
        <item x="255"/>
        <item x="34"/>
        <item x="286"/>
        <item x="271"/>
        <item x="333"/>
        <item x="265"/>
        <item x="313"/>
        <item x="24"/>
        <item x="192"/>
        <item x="56"/>
        <item x="188"/>
        <item x="283"/>
        <item x="202"/>
        <item x="303"/>
        <item x="204"/>
        <item x="275"/>
        <item x="296"/>
        <item x="106"/>
        <item x="194"/>
        <item x="134"/>
        <item x="231"/>
        <item x="11"/>
        <item x="326"/>
        <item x="205"/>
        <item x="169"/>
        <item x="304"/>
        <item x="21"/>
        <item x="208"/>
        <item x="1"/>
        <item x="257"/>
        <item x="116"/>
        <item x="138"/>
        <item x="295"/>
        <item x="299"/>
        <item x="179"/>
        <item x="20"/>
        <item x="65"/>
        <item x="52"/>
        <item x="200"/>
        <item x="59"/>
        <item x="53"/>
        <item x="15"/>
        <item x="332"/>
        <item x="93"/>
        <item x="70"/>
        <item x="58"/>
        <item x="36"/>
        <item x="297"/>
        <item x="219"/>
        <item x="291"/>
        <item x="285"/>
        <item x="122"/>
        <item x="181"/>
        <item x="88"/>
        <item x="222"/>
        <item x="114"/>
        <item x="335"/>
        <item x="73"/>
        <item x="74"/>
        <item x="292"/>
        <item x="309"/>
        <item x="207"/>
        <item x="16"/>
        <item x="40"/>
        <item x="48"/>
        <item x="288"/>
        <item x="50"/>
        <item x="47"/>
        <item x="33"/>
        <item x="35"/>
        <item x="61"/>
        <item x="123"/>
        <item x="62"/>
        <item x="213"/>
        <item x="4"/>
        <item x="268"/>
        <item x="5"/>
        <item x="266"/>
        <item x="206"/>
        <item x="14"/>
        <item x="130"/>
        <item x="273"/>
        <item x="166"/>
        <item x="242"/>
        <item x="182"/>
        <item x="249"/>
        <item x="180"/>
        <item x="250"/>
        <item x="131"/>
        <item x="57"/>
        <item x="99"/>
        <item x="37"/>
        <item x="225"/>
        <item x="258"/>
        <item x="324"/>
        <item x="151"/>
        <item x="203"/>
        <item x="22"/>
        <item x="42"/>
        <item x="155"/>
        <item x="156"/>
        <item x="64"/>
        <item x="287"/>
        <item x="67"/>
        <item x="41"/>
        <item x="12"/>
        <item x="277"/>
        <item x="278"/>
        <item x="170"/>
        <item x="164"/>
        <item x="135"/>
        <item x="165"/>
        <item x="54"/>
        <item x="75"/>
        <item x="254"/>
        <item x="274"/>
        <item x="214"/>
        <item x="66"/>
        <item x="160"/>
        <item x="32"/>
        <item x="43"/>
        <item x="44"/>
        <item x="83"/>
        <item x="145"/>
        <item x="104"/>
        <item x="189"/>
        <item x="229"/>
        <item x="6"/>
        <item x="190"/>
        <item x="263"/>
        <item x="247"/>
        <item x="248"/>
        <item x="154"/>
        <item x="13"/>
        <item x="244"/>
        <item x="316"/>
        <item x="72"/>
        <item x="264"/>
        <item x="112"/>
        <item x="101"/>
        <item x="113"/>
        <item x="102"/>
        <item x="91"/>
        <item x="19"/>
        <item x="315"/>
        <item x="195"/>
        <item x="253"/>
        <item x="236"/>
        <item x="212"/>
        <item x="269"/>
        <item x="109"/>
        <item x="329"/>
        <item x="280"/>
        <item x="322"/>
        <item x="147"/>
        <item x="331"/>
        <item x="80"/>
        <item x="87"/>
        <item x="125"/>
        <item x="167"/>
        <item x="148"/>
        <item x="334"/>
        <item x="46"/>
        <item x="223"/>
        <item x="141"/>
        <item x="220"/>
        <item x="337"/>
        <item x="183"/>
        <item x="150"/>
        <item x="196"/>
        <item x="81"/>
        <item x="149"/>
        <item x="51"/>
        <item x="126"/>
        <item x="146"/>
        <item x="284"/>
        <item x="139"/>
        <item x="140"/>
        <item x="136"/>
        <item x="293"/>
        <item x="153"/>
        <item x="174"/>
        <item x="119"/>
        <item x="184"/>
        <item x="17"/>
        <item x="127"/>
        <item x="49"/>
        <item x="328"/>
        <item x="84"/>
        <item x="63"/>
        <item x="92"/>
        <item x="215"/>
        <item x="120"/>
        <item x="237"/>
        <item x="94"/>
        <item x="216"/>
        <item x="143"/>
        <item x="226"/>
        <item x="176"/>
        <item x="279"/>
        <item x="234"/>
        <item x="171"/>
        <item x="245"/>
        <item x="246"/>
        <item x="137"/>
        <item x="298"/>
        <item x="319"/>
        <item x="327"/>
        <item x="317"/>
        <item x="142"/>
        <item x="281"/>
        <item x="68"/>
        <item x="305"/>
        <item x="301"/>
        <item x="238"/>
        <item x="233"/>
        <item x="310"/>
        <item x="133"/>
        <item x="320"/>
        <item x="338"/>
        <item x="312"/>
        <item x="325"/>
        <item x="217"/>
        <item x="307"/>
        <item x="241"/>
        <item x="117"/>
        <item x="290"/>
        <item x="243"/>
        <item x="121"/>
        <item x="107"/>
        <item x="318"/>
        <item x="124"/>
        <item x="69"/>
        <item x="282"/>
        <item x="177"/>
        <item x="306"/>
        <item x="96"/>
        <item x="97"/>
        <item x="30"/>
        <item x="55"/>
        <item x="251"/>
        <item x="29"/>
        <item x="28"/>
        <item x="261"/>
        <item x="132"/>
        <item x="172"/>
        <item x="23"/>
        <item x="86"/>
        <item x="7"/>
        <item x="90"/>
        <item x="240"/>
        <item x="330"/>
        <item x="311"/>
        <item x="103"/>
        <item x="321"/>
        <item x="323"/>
        <item x="128"/>
        <item x="76"/>
        <item x="224"/>
        <item x="31"/>
        <item x="157"/>
        <item x="158"/>
        <item x="159"/>
        <item x="25"/>
        <item x="197"/>
        <item x="221"/>
        <item x="187"/>
        <item x="173"/>
        <item x="144"/>
        <item x="308"/>
        <item x="300"/>
        <item x="302"/>
        <item x="267"/>
        <item x="256"/>
        <item x="18"/>
        <item x="235"/>
        <item x="129"/>
        <item x="210"/>
        <item x="98"/>
        <item x="105"/>
        <item x="175"/>
        <item x="230"/>
        <item x="2"/>
        <item x="115"/>
        <item x="152"/>
        <item x="161"/>
        <item x="336"/>
        <item x="71"/>
        <item x="38"/>
        <item x="9"/>
        <item x="8"/>
        <item x="185"/>
        <item x="314"/>
        <item x="10"/>
        <item x="162"/>
        <item x="0"/>
        <item x="201"/>
        <item x="227"/>
        <item x="178"/>
        <item x="45"/>
        <item x="89"/>
        <item x="259"/>
        <item x="111"/>
        <item x="110"/>
        <item x="228"/>
        <item x="163"/>
        <item x="100"/>
        <item x="85"/>
        <item x="198"/>
        <item x="276"/>
        <item x="193"/>
        <item x="199"/>
        <item x="232"/>
        <item x="186"/>
        <item x="218"/>
        <item x="60"/>
        <item x="118"/>
        <item x="77"/>
        <item x="78"/>
        <item x="26"/>
        <item x="27"/>
      </items>
    </pivotField>
    <pivotField compact="0" defaultSubtotal="0" outline="0" showAll="0">
      <items count="339">
        <item x="165"/>
        <item x="286"/>
        <item x="48"/>
        <item x="321"/>
        <item x="212"/>
        <item x="84"/>
        <item x="305"/>
        <item x="18"/>
        <item x="238"/>
        <item x="328"/>
        <item x="97"/>
        <item x="186"/>
        <item x="233"/>
        <item x="33"/>
        <item x="222"/>
        <item x="169"/>
        <item x="59"/>
        <item x="46"/>
        <item x="273"/>
        <item x="299"/>
        <item x="45"/>
        <item x="47"/>
        <item x="167"/>
        <item x="327"/>
        <item x="213"/>
        <item x="197"/>
        <item x="171"/>
        <item x="218"/>
        <item x="77"/>
        <item x="192"/>
        <item x="166"/>
        <item x="55"/>
        <item x="281"/>
        <item x="112"/>
        <item x="240"/>
        <item x="29"/>
        <item x="214"/>
        <item x="73"/>
        <item x="27"/>
        <item x="34"/>
        <item x="189"/>
        <item x="254"/>
        <item x="215"/>
        <item x="337"/>
        <item x="17"/>
        <item x="231"/>
        <item x="38"/>
        <item x="229"/>
        <item x="142"/>
        <item x="182"/>
        <item x="115"/>
        <item x="128"/>
        <item x="202"/>
        <item x="120"/>
        <item x="106"/>
        <item x="188"/>
        <item x="175"/>
        <item x="2"/>
        <item x="199"/>
        <item x="291"/>
        <item x="9"/>
        <item x="262"/>
        <item x="42"/>
        <item x="256"/>
        <item x="157"/>
        <item x="78"/>
        <item x="174"/>
        <item x="250"/>
        <item x="303"/>
        <item x="134"/>
        <item x="266"/>
        <item x="300"/>
        <item x="109"/>
        <item x="308"/>
        <item x="253"/>
        <item x="122"/>
        <item x="183"/>
        <item x="280"/>
        <item x="76"/>
        <item x="155"/>
        <item x="228"/>
        <item x="102"/>
        <item x="225"/>
        <item x="40"/>
        <item x="248"/>
        <item x="4"/>
        <item x="287"/>
        <item x="127"/>
        <item x="307"/>
        <item x="15"/>
        <item x="11"/>
        <item x="267"/>
        <item x="85"/>
        <item x="244"/>
        <item x="219"/>
        <item x="124"/>
        <item x="194"/>
        <item x="242"/>
        <item x="170"/>
        <item x="161"/>
        <item x="232"/>
        <item x="51"/>
        <item x="104"/>
        <item x="113"/>
        <item x="98"/>
        <item x="0"/>
        <item x="10"/>
        <item x="68"/>
        <item x="237"/>
        <item x="141"/>
        <item x="207"/>
        <item x="57"/>
        <item x="198"/>
        <item x="239"/>
        <item x="50"/>
        <item x="246"/>
        <item x="1"/>
        <item x="114"/>
        <item x="282"/>
        <item x="3"/>
        <item x="211"/>
        <item x="5"/>
        <item x="12"/>
        <item x="13"/>
        <item x="8"/>
        <item x="7"/>
        <item x="16"/>
        <item x="20"/>
        <item x="21"/>
        <item x="22"/>
        <item x="23"/>
        <item x="26"/>
        <item x="24"/>
        <item x="25"/>
        <item x="28"/>
        <item x="30"/>
        <item x="31"/>
        <item x="32"/>
        <item x="35"/>
        <item x="41"/>
        <item x="37"/>
        <item x="36"/>
        <item x="44"/>
        <item x="49"/>
        <item x="52"/>
        <item x="53"/>
        <item x="54"/>
        <item x="56"/>
        <item x="58"/>
        <item x="60"/>
        <item x="61"/>
        <item x="63"/>
        <item x="64"/>
        <item x="65"/>
        <item x="66"/>
        <item x="67"/>
        <item x="69"/>
        <item x="70"/>
        <item x="71"/>
        <item x="72"/>
        <item x="74"/>
        <item x="75"/>
        <item x="79"/>
        <item x="80"/>
        <item x="81"/>
        <item x="82"/>
        <item x="83"/>
        <item x="86"/>
        <item x="87"/>
        <item x="88"/>
        <item x="89"/>
        <item x="90"/>
        <item x="91"/>
        <item x="92"/>
        <item x="93"/>
        <item x="94"/>
        <item x="95"/>
        <item x="96"/>
        <item x="99"/>
        <item x="101"/>
        <item x="103"/>
        <item x="105"/>
        <item x="107"/>
        <item x="108"/>
        <item x="110"/>
        <item x="111"/>
        <item x="116"/>
        <item x="117"/>
        <item x="118"/>
        <item x="119"/>
        <item x="121"/>
        <item x="123"/>
        <item x="125"/>
        <item x="126"/>
        <item x="129"/>
        <item x="130"/>
        <item x="131"/>
        <item x="132"/>
        <item x="133"/>
        <item x="135"/>
        <item x="136"/>
        <item x="137"/>
        <item x="153"/>
        <item x="154"/>
        <item x="152"/>
        <item x="151"/>
        <item x="147"/>
        <item x="146"/>
        <item x="145"/>
        <item x="144"/>
        <item x="143"/>
        <item x="140"/>
        <item x="139"/>
        <item x="138"/>
        <item x="292"/>
        <item x="14"/>
        <item x="176"/>
        <item x="164"/>
        <item x="317"/>
        <item x="221"/>
        <item x="330"/>
        <item x="332"/>
        <item x="251"/>
        <item x="62"/>
        <item x="19"/>
        <item x="43"/>
        <item x="187"/>
        <item x="149"/>
        <item x="208"/>
        <item x="6"/>
        <item x="234"/>
        <item x="148"/>
        <item x="150"/>
        <item x="156"/>
        <item x="158"/>
        <item x="159"/>
        <item x="160"/>
        <item x="162"/>
        <item x="163"/>
        <item x="168"/>
        <item x="172"/>
        <item x="173"/>
        <item x="181"/>
        <item x="177"/>
        <item x="178"/>
        <item x="302"/>
        <item x="179"/>
        <item x="180"/>
        <item x="184"/>
        <item x="185"/>
        <item x="190"/>
        <item x="191"/>
        <item x="193"/>
        <item x="195"/>
        <item x="196"/>
        <item x="200"/>
        <item x="203"/>
        <item x="201"/>
        <item x="204"/>
        <item x="205"/>
        <item x="206"/>
        <item x="209"/>
        <item x="210"/>
        <item x="216"/>
        <item x="217"/>
        <item x="220"/>
        <item x="223"/>
        <item x="224"/>
        <item x="226"/>
        <item x="227"/>
        <item x="230"/>
        <item x="235"/>
        <item x="236"/>
        <item x="241"/>
        <item x="243"/>
        <item x="245"/>
        <item x="247"/>
        <item x="249"/>
        <item x="252"/>
        <item x="255"/>
        <item x="257"/>
        <item x="258"/>
        <item x="259"/>
        <item x="261"/>
        <item x="260"/>
        <item x="263"/>
        <item x="264"/>
        <item x="265"/>
        <item x="268"/>
        <item x="269"/>
        <item x="270"/>
        <item x="271"/>
        <item x="272"/>
        <item x="274"/>
        <item x="275"/>
        <item x="276"/>
        <item x="277"/>
        <item x="278"/>
        <item x="279"/>
        <item x="283"/>
        <item x="284"/>
        <item x="285"/>
        <item x="288"/>
        <item x="289"/>
        <item x="290"/>
        <item x="309"/>
        <item x="293"/>
        <item x="294"/>
        <item x="295"/>
        <item x="296"/>
        <item x="297"/>
        <item x="298"/>
        <item x="301"/>
        <item x="304"/>
        <item x="306"/>
        <item x="310"/>
        <item x="311"/>
        <item x="312"/>
        <item x="313"/>
        <item x="314"/>
        <item x="315"/>
        <item x="316"/>
        <item x="318"/>
        <item x="319"/>
        <item x="320"/>
        <item x="322"/>
        <item x="323"/>
        <item x="324"/>
        <item x="325"/>
        <item x="326"/>
        <item x="329"/>
        <item x="331"/>
        <item x="333"/>
        <item x="334"/>
        <item x="335"/>
        <item x="336"/>
        <item x="338"/>
        <item x="100"/>
        <item x="39"/>
      </items>
    </pivotField>
    <pivotField compact="0" defaultSubtotal="0" outline="0" showAll="0">
      <items count="3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</items>
    </pivotField>
    <pivotField dataField="1" compact="0" defaultSubtotal="0" outline="0" numFmtId="3" showAll="0">
      <items count="2">
        <item x="1"/>
        <item x="0"/>
      </items>
    </pivotField>
    <pivotField compact="0" defaultSubtotal="0" outline="0" numFmtId="3" showAll="0"/>
    <pivotField dataField="1" compact="0" defaultSubtotal="0" outline="0" numFmtId="3" showAll="0"/>
  </pivotFields>
  <rowFields count="1">
    <field x="3"/>
  </rowFields>
  <rowItems count="3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Qty" fld="6" baseField="0" baseItem="0"/>
    <dataField name="Sum of Sales amt $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4" minRefreshableVersion="3" createdVersion="4" useAutoFormatting="1" compact="0" indent="0" compactData="0" showDrill="1" multipleFieldFilters="0">
  <location ref="L3:N499" firstHeaderRow="1" firstDataRow="1" firstDataCol="2"/>
  <pivotFields count="9">
    <pivotField compact="0" defaultSubtotal="0" outline="0" numFmtId="58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>
      <items count="339">
        <item x="272"/>
        <item x="191"/>
        <item x="108"/>
        <item x="39"/>
        <item x="79"/>
        <item x="168"/>
        <item x="252"/>
        <item x="270"/>
        <item x="3"/>
        <item x="211"/>
        <item x="289"/>
        <item x="294"/>
        <item x="239"/>
        <item x="95"/>
        <item x="209"/>
        <item x="82"/>
        <item x="262"/>
        <item x="260"/>
        <item x="255"/>
        <item x="34"/>
        <item x="286"/>
        <item x="271"/>
        <item x="333"/>
        <item x="265"/>
        <item x="313"/>
        <item x="24"/>
        <item x="192"/>
        <item x="56"/>
        <item x="188"/>
        <item x="283"/>
        <item x="202"/>
        <item x="303"/>
        <item x="204"/>
        <item x="275"/>
        <item x="296"/>
        <item x="106"/>
        <item x="194"/>
        <item x="134"/>
        <item x="231"/>
        <item x="11"/>
        <item x="326"/>
        <item x="205"/>
        <item x="169"/>
        <item x="304"/>
        <item x="21"/>
        <item x="208"/>
        <item x="1"/>
        <item x="257"/>
        <item x="116"/>
        <item x="138"/>
        <item x="295"/>
        <item x="299"/>
        <item x="179"/>
        <item x="20"/>
        <item x="65"/>
        <item x="52"/>
        <item x="200"/>
        <item x="59"/>
        <item x="53"/>
        <item x="15"/>
        <item x="332"/>
        <item x="93"/>
        <item x="70"/>
        <item x="58"/>
        <item x="36"/>
        <item x="297"/>
        <item x="219"/>
        <item x="291"/>
        <item x="285"/>
        <item x="122"/>
        <item x="181"/>
        <item x="88"/>
        <item x="222"/>
        <item x="114"/>
        <item x="335"/>
        <item x="73"/>
        <item x="74"/>
        <item x="292"/>
        <item x="309"/>
        <item x="207"/>
        <item x="16"/>
        <item x="40"/>
        <item x="48"/>
        <item x="288"/>
        <item x="50"/>
        <item x="47"/>
        <item x="33"/>
        <item x="35"/>
        <item x="61"/>
        <item x="123"/>
        <item x="62"/>
        <item x="213"/>
        <item x="4"/>
        <item x="268"/>
        <item x="5"/>
        <item x="266"/>
        <item x="206"/>
        <item x="14"/>
        <item x="130"/>
        <item x="273"/>
        <item x="166"/>
        <item x="242"/>
        <item x="182"/>
        <item x="249"/>
        <item x="180"/>
        <item x="250"/>
        <item x="131"/>
        <item x="57"/>
        <item x="99"/>
        <item x="37"/>
        <item x="225"/>
        <item x="258"/>
        <item x="324"/>
        <item x="151"/>
        <item x="203"/>
        <item x="22"/>
        <item x="42"/>
        <item x="155"/>
        <item x="156"/>
        <item x="64"/>
        <item x="287"/>
        <item x="67"/>
        <item x="41"/>
        <item x="12"/>
        <item x="277"/>
        <item x="278"/>
        <item x="170"/>
        <item x="164"/>
        <item x="135"/>
        <item x="165"/>
        <item x="54"/>
        <item x="75"/>
        <item x="254"/>
        <item x="274"/>
        <item x="214"/>
        <item x="66"/>
        <item x="160"/>
        <item x="32"/>
        <item x="43"/>
        <item x="44"/>
        <item x="83"/>
        <item x="145"/>
        <item x="104"/>
        <item x="189"/>
        <item x="229"/>
        <item x="6"/>
        <item x="190"/>
        <item x="263"/>
        <item x="247"/>
        <item x="248"/>
        <item x="154"/>
        <item x="13"/>
        <item x="244"/>
        <item x="316"/>
        <item x="72"/>
        <item x="264"/>
        <item x="112"/>
        <item x="101"/>
        <item x="113"/>
        <item x="102"/>
        <item x="91"/>
        <item x="19"/>
        <item x="315"/>
        <item x="195"/>
        <item x="253"/>
        <item x="236"/>
        <item x="212"/>
        <item x="269"/>
        <item x="109"/>
        <item x="329"/>
        <item x="280"/>
        <item x="322"/>
        <item x="147"/>
        <item x="331"/>
        <item x="80"/>
        <item x="87"/>
        <item x="125"/>
        <item x="167"/>
        <item x="148"/>
        <item x="334"/>
        <item x="46"/>
        <item x="223"/>
        <item x="141"/>
        <item x="220"/>
        <item x="337"/>
        <item x="183"/>
        <item x="150"/>
        <item x="196"/>
        <item x="81"/>
        <item x="149"/>
        <item x="51"/>
        <item x="126"/>
        <item x="146"/>
        <item x="284"/>
        <item x="139"/>
        <item x="140"/>
        <item x="136"/>
        <item x="293"/>
        <item x="153"/>
        <item x="174"/>
        <item x="119"/>
        <item x="184"/>
        <item x="17"/>
        <item x="127"/>
        <item x="49"/>
        <item x="328"/>
        <item x="84"/>
        <item x="63"/>
        <item x="92"/>
        <item x="215"/>
        <item x="120"/>
        <item x="237"/>
        <item x="94"/>
        <item x="216"/>
        <item x="143"/>
        <item x="226"/>
        <item x="176"/>
        <item x="279"/>
        <item x="234"/>
        <item x="171"/>
        <item x="245"/>
        <item x="246"/>
        <item x="137"/>
        <item x="298"/>
        <item x="319"/>
        <item x="327"/>
        <item x="317"/>
        <item x="142"/>
        <item x="281"/>
        <item x="68"/>
        <item x="305"/>
        <item x="301"/>
        <item x="238"/>
        <item x="233"/>
        <item x="310"/>
        <item x="133"/>
        <item x="320"/>
        <item x="338"/>
        <item x="312"/>
        <item x="325"/>
        <item x="217"/>
        <item x="307"/>
        <item x="241"/>
        <item x="117"/>
        <item x="290"/>
        <item x="243"/>
        <item x="121"/>
        <item x="107"/>
        <item x="318"/>
        <item x="124"/>
        <item x="69"/>
        <item x="282"/>
        <item x="177"/>
        <item x="306"/>
        <item x="96"/>
        <item x="97"/>
        <item x="30"/>
        <item x="55"/>
        <item x="251"/>
        <item x="29"/>
        <item x="28"/>
        <item x="261"/>
        <item x="132"/>
        <item x="172"/>
        <item x="23"/>
        <item x="86"/>
        <item x="7"/>
        <item x="90"/>
        <item x="240"/>
        <item x="330"/>
        <item x="311"/>
        <item x="103"/>
        <item x="321"/>
        <item x="323"/>
        <item x="128"/>
        <item x="76"/>
        <item x="224"/>
        <item x="31"/>
        <item x="157"/>
        <item x="158"/>
        <item x="159"/>
        <item x="25"/>
        <item x="197"/>
        <item x="221"/>
        <item x="187"/>
        <item x="173"/>
        <item x="144"/>
        <item x="308"/>
        <item x="300"/>
        <item x="302"/>
        <item x="267"/>
        <item x="256"/>
        <item x="18"/>
        <item x="235"/>
        <item x="129"/>
        <item x="210"/>
        <item x="98"/>
        <item x="105"/>
        <item x="175"/>
        <item x="230"/>
        <item x="2"/>
        <item x="115"/>
        <item x="152"/>
        <item x="161"/>
        <item x="336"/>
        <item x="71"/>
        <item x="38"/>
        <item x="9"/>
        <item x="8"/>
        <item x="185"/>
        <item x="314"/>
        <item x="10"/>
        <item x="162"/>
        <item x="0"/>
        <item x="201"/>
        <item x="227"/>
        <item x="178"/>
        <item x="45"/>
        <item x="89"/>
        <item x="259"/>
        <item x="111"/>
        <item x="110"/>
        <item x="228"/>
        <item x="163"/>
        <item x="100"/>
        <item x="85"/>
        <item x="198"/>
        <item x="276"/>
        <item x="193"/>
        <item x="199"/>
        <item x="232"/>
        <item x="186"/>
        <item x="218"/>
        <item x="60"/>
        <item x="118"/>
        <item x="77"/>
        <item x="78"/>
        <item x="26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339">
        <item x="165"/>
        <item x="286"/>
        <item x="48"/>
        <item x="321"/>
        <item x="212"/>
        <item x="84"/>
        <item x="305"/>
        <item x="18"/>
        <item x="238"/>
        <item x="328"/>
        <item x="97"/>
        <item x="186"/>
        <item x="233"/>
        <item x="33"/>
        <item x="222"/>
        <item x="169"/>
        <item x="59"/>
        <item x="46"/>
        <item x="273"/>
        <item x="299"/>
        <item x="45"/>
        <item x="47"/>
        <item x="167"/>
        <item x="327"/>
        <item x="213"/>
        <item x="197"/>
        <item x="171"/>
        <item x="218"/>
        <item x="77"/>
        <item x="192"/>
        <item x="166"/>
        <item x="55"/>
        <item x="281"/>
        <item x="112"/>
        <item x="240"/>
        <item x="29"/>
        <item x="214"/>
        <item x="73"/>
        <item x="27"/>
        <item x="34"/>
        <item x="189"/>
        <item x="254"/>
        <item x="215"/>
        <item x="337"/>
        <item x="17"/>
        <item x="231"/>
        <item x="38"/>
        <item x="229"/>
        <item x="142"/>
        <item x="182"/>
        <item x="115"/>
        <item x="128"/>
        <item x="202"/>
        <item x="120"/>
        <item x="106"/>
        <item x="188"/>
        <item x="175"/>
        <item x="2"/>
        <item x="199"/>
        <item x="291"/>
        <item x="9"/>
        <item x="262"/>
        <item x="42"/>
        <item x="256"/>
        <item x="157"/>
        <item x="78"/>
        <item x="174"/>
        <item x="250"/>
        <item x="303"/>
        <item x="134"/>
        <item x="266"/>
        <item x="300"/>
        <item x="109"/>
        <item x="308"/>
        <item x="253"/>
        <item x="122"/>
        <item x="183"/>
        <item x="280"/>
        <item x="76"/>
        <item x="155"/>
        <item x="228"/>
        <item x="102"/>
        <item x="225"/>
        <item x="40"/>
        <item x="248"/>
        <item x="4"/>
        <item x="287"/>
        <item x="127"/>
        <item x="307"/>
        <item x="15"/>
        <item x="11"/>
        <item x="267"/>
        <item x="85"/>
        <item x="244"/>
        <item x="219"/>
        <item x="124"/>
        <item x="194"/>
        <item x="242"/>
        <item x="170"/>
        <item x="161"/>
        <item x="232"/>
        <item x="51"/>
        <item x="104"/>
        <item x="113"/>
        <item x="98"/>
        <item x="0"/>
        <item x="10"/>
        <item x="68"/>
        <item x="237"/>
        <item x="141"/>
        <item x="207"/>
        <item x="57"/>
        <item x="198"/>
        <item x="239"/>
        <item x="50"/>
        <item x="246"/>
        <item x="1"/>
        <item x="114"/>
        <item x="282"/>
        <item x="3"/>
        <item x="211"/>
        <item x="5"/>
        <item x="12"/>
        <item x="13"/>
        <item x="8"/>
        <item x="7"/>
        <item x="16"/>
        <item x="20"/>
        <item x="21"/>
        <item x="22"/>
        <item x="23"/>
        <item x="26"/>
        <item x="24"/>
        <item x="25"/>
        <item x="28"/>
        <item x="30"/>
        <item x="31"/>
        <item x="32"/>
        <item x="35"/>
        <item x="41"/>
        <item x="37"/>
        <item x="36"/>
        <item x="44"/>
        <item x="49"/>
        <item x="52"/>
        <item x="53"/>
        <item x="54"/>
        <item x="56"/>
        <item x="58"/>
        <item x="60"/>
        <item x="61"/>
        <item x="63"/>
        <item x="64"/>
        <item x="65"/>
        <item x="66"/>
        <item x="67"/>
        <item x="69"/>
        <item x="70"/>
        <item x="71"/>
        <item x="72"/>
        <item x="74"/>
        <item x="75"/>
        <item x="79"/>
        <item x="80"/>
        <item x="81"/>
        <item x="82"/>
        <item x="83"/>
        <item x="86"/>
        <item x="87"/>
        <item x="88"/>
        <item x="89"/>
        <item x="90"/>
        <item x="91"/>
        <item x="92"/>
        <item x="93"/>
        <item x="94"/>
        <item x="95"/>
        <item x="96"/>
        <item x="99"/>
        <item x="101"/>
        <item x="103"/>
        <item x="105"/>
        <item x="107"/>
        <item x="108"/>
        <item x="110"/>
        <item x="111"/>
        <item x="116"/>
        <item x="117"/>
        <item x="118"/>
        <item x="119"/>
        <item x="121"/>
        <item x="123"/>
        <item x="125"/>
        <item x="126"/>
        <item x="129"/>
        <item x="130"/>
        <item x="131"/>
        <item x="132"/>
        <item x="133"/>
        <item x="135"/>
        <item x="136"/>
        <item x="137"/>
        <item x="153"/>
        <item x="154"/>
        <item x="152"/>
        <item x="151"/>
        <item x="147"/>
        <item x="146"/>
        <item x="145"/>
        <item x="144"/>
        <item x="143"/>
        <item x="140"/>
        <item x="139"/>
        <item x="138"/>
        <item x="292"/>
        <item x="14"/>
        <item x="176"/>
        <item x="164"/>
        <item x="317"/>
        <item x="221"/>
        <item x="330"/>
        <item x="332"/>
        <item x="251"/>
        <item x="62"/>
        <item x="19"/>
        <item x="43"/>
        <item x="187"/>
        <item x="149"/>
        <item x="208"/>
        <item x="6"/>
        <item x="234"/>
        <item x="148"/>
        <item x="150"/>
        <item x="156"/>
        <item x="158"/>
        <item x="159"/>
        <item x="160"/>
        <item x="162"/>
        <item x="163"/>
        <item x="168"/>
        <item x="172"/>
        <item x="173"/>
        <item x="181"/>
        <item x="177"/>
        <item x="178"/>
        <item x="302"/>
        <item x="179"/>
        <item x="180"/>
        <item x="184"/>
        <item x="185"/>
        <item x="190"/>
        <item x="191"/>
        <item x="193"/>
        <item x="195"/>
        <item x="196"/>
        <item x="200"/>
        <item x="203"/>
        <item x="201"/>
        <item x="204"/>
        <item x="205"/>
        <item x="206"/>
        <item x="209"/>
        <item x="210"/>
        <item x="216"/>
        <item x="217"/>
        <item x="220"/>
        <item x="223"/>
        <item x="224"/>
        <item x="226"/>
        <item x="227"/>
        <item x="230"/>
        <item x="235"/>
        <item x="236"/>
        <item x="241"/>
        <item x="243"/>
        <item x="245"/>
        <item x="247"/>
        <item x="249"/>
        <item x="252"/>
        <item x="255"/>
        <item x="257"/>
        <item x="258"/>
        <item x="259"/>
        <item x="261"/>
        <item x="260"/>
        <item x="263"/>
        <item x="264"/>
        <item x="265"/>
        <item x="268"/>
        <item x="269"/>
        <item x="270"/>
        <item x="271"/>
        <item x="272"/>
        <item x="274"/>
        <item x="275"/>
        <item x="276"/>
        <item x="277"/>
        <item x="278"/>
        <item x="279"/>
        <item x="283"/>
        <item x="284"/>
        <item x="285"/>
        <item x="288"/>
        <item x="289"/>
        <item x="290"/>
        <item x="309"/>
        <item x="293"/>
        <item x="294"/>
        <item x="295"/>
        <item x="296"/>
        <item x="297"/>
        <item x="298"/>
        <item x="301"/>
        <item x="304"/>
        <item x="306"/>
        <item x="310"/>
        <item x="311"/>
        <item x="312"/>
        <item x="313"/>
        <item x="314"/>
        <item x="315"/>
        <item x="316"/>
        <item x="318"/>
        <item x="319"/>
        <item x="320"/>
        <item x="322"/>
        <item x="323"/>
        <item x="324"/>
        <item x="325"/>
        <item x="326"/>
        <item x="329"/>
        <item x="331"/>
        <item x="333"/>
        <item x="334"/>
        <item x="335"/>
        <item x="336"/>
        <item x="338"/>
        <item x="100"/>
        <item x="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>
      <items count="3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numFmtId="3" showAl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numFmtId="3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numFmtId="3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5"/>
    <field x="3"/>
  </rowFields>
  <rowItems count="496">
    <i>
      <x/>
      <x v="313"/>
    </i>
    <i>
      <x v="1"/>
      <x v="46"/>
    </i>
    <i r="1">
      <x v="300"/>
    </i>
    <i>
      <x v="2"/>
      <x v="8"/>
    </i>
    <i>
      <x v="3"/>
      <x v="92"/>
    </i>
    <i r="1">
      <x v="94"/>
    </i>
    <i>
      <x v="4"/>
      <x v="145"/>
    </i>
    <i>
      <x v="5"/>
      <x v="266"/>
    </i>
    <i r="1">
      <x v="308"/>
    </i>
    <i>
      <x v="6"/>
      <x v="307"/>
    </i>
    <i>
      <x v="7"/>
      <x v="311"/>
    </i>
    <i>
      <x v="8"/>
      <x v="307"/>
    </i>
    <i>
      <x v="9"/>
      <x v="311"/>
    </i>
    <i>
      <x v="10"/>
      <x v="266"/>
    </i>
    <i>
      <x v="11"/>
      <x v="39"/>
    </i>
    <i r="1">
      <x v="123"/>
    </i>
    <i>
      <x v="12"/>
      <x v="151"/>
    </i>
    <i>
      <x v="13"/>
      <x v="307"/>
    </i>
    <i>
      <x v="14"/>
      <x v="311"/>
    </i>
    <i>
      <x v="15"/>
      <x v="97"/>
    </i>
    <i>
      <x v="16"/>
      <x v="59"/>
    </i>
    <i r="1">
      <x v="80"/>
    </i>
    <i r="1">
      <x v="202"/>
    </i>
    <i>
      <x v="17"/>
      <x v="300"/>
    </i>
    <i>
      <x v="18"/>
      <x v="292"/>
    </i>
    <i>
      <x v="19"/>
      <x v="161"/>
    </i>
    <i>
      <x v="20"/>
      <x v="53"/>
    </i>
    <i>
      <x v="21"/>
      <x v="44"/>
    </i>
    <i r="1">
      <x v="115"/>
    </i>
    <i>
      <x v="22"/>
      <x v="264"/>
    </i>
    <i>
      <x v="23"/>
      <x v="25"/>
    </i>
    <i r="1">
      <x v="80"/>
    </i>
    <i r="1">
      <x v="281"/>
    </i>
    <i r="1">
      <x v="337"/>
    </i>
    <i r="1">
      <x v="338"/>
    </i>
    <i>
      <x v="24"/>
      <x v="260"/>
    </i>
    <i>
      <x v="25"/>
      <x v="259"/>
    </i>
    <i>
      <x v="26"/>
      <x v="256"/>
    </i>
    <i r="1">
      <x v="277"/>
    </i>
    <i>
      <x v="27"/>
      <x v="313"/>
    </i>
    <i>
      <x v="28"/>
      <x v="137"/>
    </i>
    <i>
      <x v="29"/>
      <x v="86"/>
    </i>
    <i>
      <x v="30"/>
      <x v="19"/>
    </i>
    <i>
      <x v="31"/>
      <x v="87"/>
    </i>
    <i>
      <x v="32"/>
      <x v="64"/>
    </i>
    <i r="1">
      <x v="109"/>
    </i>
    <i>
      <x v="33"/>
      <x v="306"/>
    </i>
    <i>
      <x v="34"/>
      <x v="3"/>
    </i>
    <i r="1">
      <x v="81"/>
    </i>
    <i r="1">
      <x v="122"/>
    </i>
    <i>
      <x v="35"/>
      <x v="44"/>
    </i>
    <i r="1">
      <x v="116"/>
    </i>
    <i>
      <x v="36"/>
      <x v="138"/>
    </i>
    <i r="1">
      <x v="139"/>
    </i>
    <i>
      <x v="37"/>
      <x v="317"/>
    </i>
    <i>
      <x v="38"/>
      <x v="180"/>
    </i>
    <i>
      <x v="39"/>
      <x v="85"/>
    </i>
    <i r="1">
      <x v="86"/>
    </i>
    <i>
      <x v="40"/>
      <x v="82"/>
    </i>
    <i>
      <x v="41"/>
      <x v="204"/>
    </i>
    <i>
      <x v="42"/>
      <x v="84"/>
    </i>
    <i>
      <x v="43"/>
      <x v="190"/>
    </i>
    <i>
      <x v="44"/>
      <x v="256"/>
    </i>
    <i>
      <x v="45"/>
      <x v="55"/>
    </i>
    <i r="1">
      <x v="58"/>
    </i>
    <i r="1">
      <x v="130"/>
    </i>
    <i>
      <x v="46"/>
      <x v="257"/>
    </i>
    <i>
      <x v="47"/>
      <x v="27"/>
    </i>
    <i r="1">
      <x v="107"/>
    </i>
    <i>
      <x v="48"/>
      <x v="63"/>
    </i>
    <i>
      <x v="49"/>
      <x v="57"/>
    </i>
    <i r="1">
      <x v="333"/>
    </i>
    <i>
      <x v="50"/>
      <x v="88"/>
    </i>
    <i r="1">
      <x v="90"/>
    </i>
    <i>
      <x v="51"/>
      <x v="207"/>
    </i>
    <i>
      <x v="52"/>
      <x v="81"/>
    </i>
    <i r="1">
      <x v="119"/>
    </i>
    <i>
      <x v="53"/>
      <x v="54"/>
    </i>
    <i>
      <x v="54"/>
      <x v="135"/>
    </i>
    <i>
      <x v="55"/>
      <x v="121"/>
    </i>
    <i>
      <x v="56"/>
      <x v="229"/>
    </i>
    <i>
      <x v="57"/>
      <x v="250"/>
    </i>
    <i>
      <x v="58"/>
      <x v="62"/>
    </i>
    <i r="1">
      <x v="81"/>
    </i>
    <i r="1">
      <x v="305"/>
    </i>
    <i>
      <x v="59"/>
      <x v="154"/>
    </i>
    <i>
      <x v="60"/>
      <x v="75"/>
    </i>
    <i r="1">
      <x v="76"/>
    </i>
    <i r="1">
      <x v="131"/>
    </i>
    <i>
      <x v="61"/>
      <x v="275"/>
    </i>
    <i>
      <x v="62"/>
      <x v="335"/>
    </i>
    <i r="1">
      <x v="336"/>
    </i>
    <i>
      <x v="63"/>
      <x v="307"/>
    </i>
    <i>
      <x v="64"/>
      <x v="4"/>
    </i>
    <i>
      <x v="65"/>
      <x v="174"/>
    </i>
    <i r="1">
      <x v="188"/>
    </i>
    <i>
      <x v="66"/>
      <x v="15"/>
    </i>
    <i>
      <x v="67"/>
      <x v="140"/>
    </i>
    <i r="1">
      <x v="206"/>
    </i>
    <i>
      <x v="68"/>
      <x v="325"/>
    </i>
    <i>
      <x v="69"/>
      <x v="265"/>
    </i>
    <i>
      <x v="70"/>
      <x v="175"/>
    </i>
    <i r="1">
      <x v="188"/>
    </i>
    <i>
      <x v="71"/>
      <x v="71"/>
    </i>
    <i>
      <x v="72"/>
      <x v="318"/>
    </i>
    <i>
      <x v="73"/>
      <x v="267"/>
    </i>
    <i>
      <x v="74"/>
      <x v="267"/>
    </i>
    <i>
      <x v="75"/>
      <x v="160"/>
    </i>
    <i>
      <x v="76"/>
      <x v="267"/>
    </i>
    <i>
      <x v="77"/>
      <x v="266"/>
    </i>
    <i>
      <x v="78"/>
      <x v="208"/>
    </i>
    <i>
      <x v="79"/>
      <x v="265"/>
    </i>
    <i>
      <x v="80"/>
      <x v="277"/>
    </i>
    <i>
      <x v="81"/>
      <x v="154"/>
    </i>
    <i>
      <x v="82"/>
      <x v="61"/>
    </i>
    <i>
      <x v="83"/>
      <x v="311"/>
    </i>
    <i>
      <x v="84"/>
      <x v="206"/>
    </i>
    <i r="1">
      <x v="212"/>
    </i>
    <i>
      <x v="85"/>
      <x v="13"/>
    </i>
    <i r="1">
      <x v="80"/>
    </i>
    <i>
      <x v="86"/>
      <x v="254"/>
    </i>
    <i r="1">
      <x v="255"/>
    </i>
    <i>
      <x v="87"/>
      <x v="296"/>
    </i>
    <i>
      <x v="88"/>
      <x v="108"/>
    </i>
    <i>
      <x v="89"/>
      <x v="324"/>
    </i>
    <i>
      <x v="90"/>
      <x v="300"/>
    </i>
    <i>
      <x v="91"/>
      <x v="157"/>
    </i>
    <i r="1">
      <x v="159"/>
    </i>
    <i>
      <x v="92"/>
      <x v="271"/>
    </i>
    <i>
      <x v="93"/>
      <x v="267"/>
    </i>
    <i r="1">
      <x v="306"/>
    </i>
    <i>
      <x v="94"/>
      <x v="142"/>
    </i>
    <i>
      <x v="95"/>
      <x v="145"/>
    </i>
    <i>
      <x v="96"/>
      <x v="297"/>
    </i>
    <i>
      <x v="97"/>
      <x v="35"/>
    </i>
    <i r="1">
      <x v="247"/>
    </i>
    <i>
      <x v="98"/>
      <x v="2"/>
    </i>
    <i>
      <x v="99"/>
      <x v="168"/>
    </i>
    <i r="1">
      <x v="188"/>
    </i>
    <i>
      <x v="100"/>
      <x v="267"/>
    </i>
    <i>
      <x v="101"/>
      <x v="321"/>
    </i>
    <i>
      <x v="102"/>
      <x v="320"/>
    </i>
    <i>
      <x v="103"/>
      <x v="156"/>
    </i>
    <i r="1">
      <x v="158"/>
    </i>
    <i>
      <x v="104"/>
      <x v="73"/>
    </i>
    <i>
      <x v="105"/>
      <x v="301"/>
    </i>
    <i>
      <x v="106"/>
      <x v="265"/>
    </i>
    <i r="1">
      <x v="300"/>
    </i>
    <i r="1">
      <x v="306"/>
    </i>
    <i>
      <x v="107"/>
      <x v="296"/>
    </i>
    <i>
      <x v="108"/>
      <x v="48"/>
    </i>
    <i r="1">
      <x v="243"/>
    </i>
    <i>
      <x v="109"/>
      <x v="334"/>
    </i>
    <i>
      <x v="110"/>
      <x v="202"/>
    </i>
    <i r="1">
      <x v="204"/>
    </i>
    <i>
      <x v="111"/>
      <x v="200"/>
    </i>
    <i>
      <x v="112"/>
      <x v="210"/>
    </i>
    <i r="1">
      <x v="246"/>
    </i>
    <i>
      <x v="113"/>
      <x v="69"/>
    </i>
    <i>
      <x v="114"/>
      <x v="271"/>
    </i>
    <i r="1">
      <x v="296"/>
    </i>
    <i>
      <x v="115"/>
      <x v="264"/>
    </i>
    <i>
      <x v="116"/>
      <x v="89"/>
    </i>
    <i>
      <x v="117"/>
      <x v="249"/>
    </i>
    <i>
      <x v="118"/>
      <x v="176"/>
    </i>
    <i r="1">
      <x v="191"/>
    </i>
    <i>
      <x v="119"/>
      <x v="203"/>
    </i>
    <i r="1">
      <x v="274"/>
    </i>
    <i r="1">
      <x v="275"/>
    </i>
    <i>
      <x v="120"/>
      <x v="294"/>
    </i>
    <i>
      <x v="121"/>
      <x v="107"/>
    </i>
    <i>
      <x v="122"/>
      <x v="98"/>
    </i>
    <i r="1">
      <x v="106"/>
    </i>
    <i>
      <x v="123"/>
      <x v="262"/>
    </i>
    <i>
      <x v="124"/>
      <x v="235"/>
    </i>
    <i>
      <x v="125"/>
      <x v="37"/>
    </i>
    <i>
      <x v="126"/>
      <x v="271"/>
    </i>
    <i>
      <x v="127"/>
      <x v="128"/>
    </i>
    <i r="1">
      <x v="196"/>
    </i>
    <i r="1">
      <x v="222"/>
    </i>
    <i>
      <x v="128"/>
      <x v="49"/>
    </i>
    <i>
      <x v="129"/>
      <x v="194"/>
    </i>
    <i r="1">
      <x v="195"/>
    </i>
    <i>
      <x v="130"/>
      <x v="182"/>
    </i>
    <i>
      <x v="131"/>
      <x v="227"/>
    </i>
    <i>
      <x v="132"/>
      <x v="313"/>
    </i>
    <i>
      <x v="133"/>
      <x v="214"/>
    </i>
    <i>
      <x v="134"/>
      <x v="286"/>
    </i>
    <i>
      <x v="135"/>
      <x v="271"/>
    </i>
    <i>
      <x v="136"/>
      <x v="141"/>
    </i>
    <i>
      <x v="137"/>
      <x v="301"/>
    </i>
    <i>
      <x v="138"/>
      <x v="192"/>
    </i>
    <i>
      <x v="139"/>
      <x v="172"/>
    </i>
    <i r="1">
      <x v="178"/>
    </i>
    <i r="1">
      <x v="189"/>
    </i>
    <i r="1">
      <x v="265"/>
    </i>
    <i>
      <x v="140"/>
      <x v="271"/>
    </i>
    <i>
      <x v="141"/>
      <x v="186"/>
    </i>
    <i>
      <x v="142"/>
      <x v="113"/>
    </i>
    <i>
      <x v="143"/>
      <x v="302"/>
    </i>
    <i>
      <x v="144"/>
      <x v="198"/>
    </i>
    <i r="1">
      <x v="267"/>
    </i>
    <i>
      <x v="145"/>
      <x v="150"/>
    </i>
    <i>
      <x v="146"/>
      <x v="265"/>
    </i>
    <i>
      <x v="147"/>
      <x v="271"/>
    </i>
    <i>
      <x v="148"/>
      <x v="117"/>
    </i>
    <i r="1">
      <x v="118"/>
    </i>
    <i>
      <x v="149"/>
      <x v="297"/>
    </i>
    <i>
      <x v="150"/>
      <x v="267"/>
    </i>
    <i>
      <x v="151"/>
      <x v="278"/>
    </i>
    <i r="1">
      <x v="279"/>
    </i>
    <i r="1">
      <x v="280"/>
    </i>
    <i>
      <x v="152"/>
      <x v="265"/>
    </i>
    <i>
      <x v="153"/>
      <x v="136"/>
    </i>
    <i>
      <x v="154"/>
      <x v="303"/>
    </i>
    <i>
      <x v="155"/>
      <x v="89"/>
    </i>
    <i>
      <x v="156"/>
      <x v="312"/>
    </i>
    <i>
      <x v="157"/>
      <x v="323"/>
    </i>
    <i>
      <x v="158"/>
      <x v="127"/>
    </i>
    <i r="1">
      <x v="129"/>
    </i>
    <i>
      <x v="159"/>
      <x v="100"/>
    </i>
    <i>
      <x v="160"/>
      <x v="177"/>
    </i>
    <i>
      <x v="161"/>
      <x v="5"/>
    </i>
    <i>
      <x v="162"/>
      <x v="42"/>
    </i>
    <i r="1">
      <x v="126"/>
    </i>
    <i>
      <x v="163"/>
      <x v="307"/>
    </i>
    <i>
      <x v="164"/>
      <x v="219"/>
    </i>
    <i>
      <x v="165"/>
      <x v="263"/>
    </i>
    <i r="1">
      <x v="285"/>
    </i>
    <i>
      <x v="166"/>
      <x v="199"/>
    </i>
    <i>
      <x v="167"/>
      <x v="298"/>
    </i>
    <i>
      <x v="168"/>
      <x v="216"/>
    </i>
    <i r="1">
      <x v="252"/>
    </i>
    <i>
      <x v="169"/>
      <x v="89"/>
    </i>
    <i>
      <x v="170"/>
      <x v="316"/>
    </i>
    <i>
      <x v="171"/>
      <x v="52"/>
    </i>
    <i r="1">
      <x v="104"/>
    </i>
    <i>
      <x v="172"/>
      <x v="70"/>
    </i>
    <i r="1">
      <x v="102"/>
    </i>
    <i>
      <x v="173"/>
      <x v="185"/>
    </i>
    <i>
      <x v="174"/>
      <x v="201"/>
    </i>
    <i>
      <x v="175"/>
      <x v="311"/>
    </i>
    <i>
      <x v="176"/>
      <x v="309"/>
    </i>
    <i>
      <x v="177"/>
      <x v="316"/>
    </i>
    <i r="1">
      <x v="331"/>
    </i>
    <i>
      <x v="178"/>
      <x v="302"/>
    </i>
    <i>
      <x v="179"/>
      <x v="192"/>
    </i>
    <i>
      <x v="180"/>
      <x v="284"/>
    </i>
    <i>
      <x v="181"/>
      <x v="28"/>
    </i>
    <i r="1">
      <x v="37"/>
    </i>
    <i>
      <x v="182"/>
      <x v="143"/>
    </i>
    <i r="1">
      <x v="146"/>
    </i>
    <i>
      <x v="183"/>
      <x v="316"/>
    </i>
    <i r="1">
      <x v="331"/>
    </i>
    <i>
      <x v="184"/>
      <x v="309"/>
    </i>
    <i>
      <x v="185"/>
      <x v="1"/>
    </i>
    <i r="1">
      <x v="26"/>
    </i>
    <i>
      <x v="186"/>
      <x v="328"/>
    </i>
    <i>
      <x v="187"/>
      <x v="1"/>
    </i>
    <i>
      <x v="188"/>
      <x v="300"/>
    </i>
    <i r="1">
      <x v="331"/>
    </i>
    <i>
      <x v="189"/>
      <x v="36"/>
    </i>
    <i r="1">
      <x v="163"/>
    </i>
    <i>
      <x v="190"/>
      <x v="187"/>
    </i>
    <i r="1">
      <x v="282"/>
    </i>
    <i>
      <x v="191"/>
      <x v="326"/>
    </i>
    <i r="1">
      <x v="329"/>
    </i>
    <i>
      <x v="192"/>
      <x v="312"/>
    </i>
    <i>
      <x v="193"/>
      <x v="56"/>
    </i>
    <i>
      <x v="194"/>
      <x v="314"/>
    </i>
    <i>
      <x v="195"/>
      <x v="30"/>
    </i>
    <i r="1">
      <x v="114"/>
    </i>
    <i>
      <x v="196"/>
      <x v="320"/>
    </i>
    <i>
      <x v="197"/>
      <x v="32"/>
    </i>
    <i r="1">
      <x v="41"/>
    </i>
    <i>
      <x v="198"/>
      <x v="96"/>
    </i>
    <i>
      <x v="199"/>
      <x v="79"/>
    </i>
    <i>
      <x v="200"/>
      <x v="191"/>
    </i>
    <i>
      <x v="201"/>
      <x v="300"/>
    </i>
    <i>
      <x v="202"/>
      <x v="192"/>
    </i>
    <i>
      <x v="203"/>
      <x v="45"/>
    </i>
    <i r="1">
      <x v="80"/>
    </i>
    <i>
      <x v="204"/>
      <x v="14"/>
    </i>
    <i>
      <x v="205"/>
      <x v="295"/>
    </i>
    <i>
      <x v="206"/>
      <x v="15"/>
    </i>
    <i>
      <x v="207"/>
      <x v="15"/>
    </i>
    <i>
      <x v="208"/>
      <x v="9"/>
    </i>
    <i>
      <x v="209"/>
      <x v="131"/>
    </i>
    <i r="1">
      <x v="166"/>
    </i>
    <i>
      <x v="210"/>
      <x v="91"/>
    </i>
    <i r="1">
      <x v="134"/>
    </i>
    <i>
      <x v="211"/>
      <x v="209"/>
    </i>
    <i>
      <x v="212"/>
      <x v="213"/>
    </i>
    <i>
      <x v="213"/>
      <x v="240"/>
    </i>
    <i>
      <x v="214"/>
      <x v="312"/>
    </i>
    <i>
      <x v="215"/>
      <x v="332"/>
    </i>
    <i>
      <x v="216"/>
      <x v="66"/>
    </i>
    <i>
      <x v="217"/>
      <x v="183"/>
    </i>
    <i>
      <x v="218"/>
      <x v="121"/>
    </i>
    <i r="1">
      <x v="283"/>
    </i>
    <i>
      <x v="219"/>
      <x v="146"/>
    </i>
    <i>
      <x v="220"/>
      <x v="320"/>
    </i>
    <i>
      <x v="221"/>
      <x v="72"/>
    </i>
    <i>
      <x v="222"/>
      <x v="2"/>
    </i>
    <i>
      <x v="223"/>
      <x v="181"/>
    </i>
    <i>
      <x v="224"/>
      <x v="276"/>
    </i>
    <i>
      <x v="225"/>
      <x v="32"/>
    </i>
    <i r="1">
      <x v="308"/>
    </i>
    <i>
      <x v="226"/>
      <x v="110"/>
    </i>
    <i>
      <x v="227"/>
      <x v="215"/>
    </i>
    <i>
      <x v="228"/>
      <x v="166"/>
    </i>
    <i>
      <x v="229"/>
      <x v="154"/>
    </i>
    <i>
      <x v="230"/>
      <x v="315"/>
    </i>
    <i r="1">
      <x v="322"/>
    </i>
    <i>
      <x v="231"/>
      <x v="144"/>
    </i>
    <i>
      <x v="232"/>
      <x v="2"/>
    </i>
    <i>
      <x v="233"/>
      <x v="89"/>
    </i>
    <i>
      <x v="234"/>
      <x v="299"/>
    </i>
    <i>
      <x v="235"/>
      <x v="38"/>
    </i>
    <i>
      <x v="236"/>
      <x v="330"/>
    </i>
    <i>
      <x v="237"/>
      <x v="233"/>
    </i>
    <i>
      <x v="238"/>
      <x v="218"/>
    </i>
    <i>
      <x v="239"/>
      <x v="276"/>
    </i>
    <i>
      <x v="240"/>
      <x v="89"/>
    </i>
    <i>
      <x v="241"/>
      <x v="293"/>
    </i>
    <i>
      <x v="242"/>
      <x v="165"/>
    </i>
    <i>
      <x v="243"/>
      <x v="211"/>
    </i>
    <i r="1">
      <x v="232"/>
    </i>
    <i>
      <x v="244"/>
      <x v="330"/>
    </i>
    <i>
      <x v="245"/>
      <x v="300"/>
    </i>
    <i>
      <x v="246"/>
      <x v="12"/>
    </i>
    <i>
      <x v="247"/>
      <x v="268"/>
    </i>
    <i>
      <x v="248"/>
      <x v="295"/>
    </i>
    <i>
      <x v="249"/>
      <x v="242"/>
    </i>
    <i>
      <x v="250"/>
      <x v="299"/>
    </i>
    <i>
      <x v="251"/>
      <x v="299"/>
    </i>
    <i>
      <x v="252"/>
      <x v="101"/>
    </i>
    <i>
      <x v="253"/>
      <x v="245"/>
    </i>
    <i>
      <x v="254"/>
      <x v="152"/>
    </i>
    <i>
      <x v="255"/>
      <x v="220"/>
    </i>
    <i r="1">
      <x v="221"/>
    </i>
    <i>
      <x v="256"/>
      <x v="148"/>
    </i>
    <i>
      <x v="257"/>
      <x v="152"/>
    </i>
    <i>
      <x v="258"/>
      <x v="13"/>
    </i>
    <i r="1">
      <x v="81"/>
    </i>
    <i>
      <x v="259"/>
      <x v="149"/>
    </i>
    <i>
      <x v="260"/>
      <x v="103"/>
    </i>
    <i r="1">
      <x v="105"/>
    </i>
    <i>
      <x v="261"/>
      <x v="258"/>
    </i>
    <i>
      <x v="262"/>
      <x v="6"/>
    </i>
    <i>
      <x v="263"/>
      <x v="164"/>
    </i>
    <i>
      <x v="264"/>
      <x v="132"/>
    </i>
    <i>
      <x v="265"/>
      <x v="14"/>
    </i>
    <i r="1">
      <x v="18"/>
    </i>
    <i>
      <x v="266"/>
      <x v="291"/>
    </i>
    <i>
      <x v="267"/>
      <x v="47"/>
    </i>
    <i r="1">
      <x v="111"/>
    </i>
    <i>
      <x v="268"/>
      <x v="319"/>
    </i>
    <i>
      <x v="269"/>
      <x v="301"/>
    </i>
    <i>
      <x v="270"/>
      <x v="189"/>
    </i>
    <i>
      <x v="271"/>
      <x v="17"/>
    </i>
    <i>
      <x v="272"/>
      <x v="261"/>
    </i>
    <i>
      <x v="273"/>
      <x v="16"/>
    </i>
    <i>
      <x v="274"/>
      <x v="147"/>
    </i>
    <i r="1">
      <x v="155"/>
    </i>
    <i>
      <x v="275"/>
      <x v="23"/>
    </i>
    <i r="1">
      <x v="95"/>
    </i>
    <i>
      <x v="276"/>
      <x v="290"/>
    </i>
    <i>
      <x v="277"/>
      <x v="52"/>
    </i>
    <i r="1">
      <x v="93"/>
    </i>
    <i r="1">
      <x v="192"/>
    </i>
    <i>
      <x v="278"/>
      <x v="167"/>
    </i>
    <i>
      <x v="279"/>
      <x v="332"/>
    </i>
    <i>
      <x v="280"/>
      <x v="299"/>
    </i>
    <i>
      <x v="281"/>
      <x v="325"/>
    </i>
    <i>
      <x v="282"/>
      <x v="89"/>
    </i>
    <i>
      <x v="283"/>
      <x v="7"/>
    </i>
    <i>
      <x v="284"/>
      <x v="89"/>
    </i>
    <i>
      <x v="285"/>
      <x v="89"/>
    </i>
    <i>
      <x v="286"/>
      <x v="89"/>
    </i>
    <i>
      <x v="287"/>
      <x v="21"/>
    </i>
    <i>
      <x v="288"/>
      <x/>
    </i>
    <i>
      <x v="289"/>
      <x v="330"/>
    </i>
    <i>
      <x v="290"/>
      <x v="99"/>
    </i>
    <i r="1">
      <x v="133"/>
    </i>
    <i>
      <x v="291"/>
      <x v="54"/>
    </i>
    <i>
      <x v="292"/>
      <x v="33"/>
    </i>
    <i r="1">
      <x v="38"/>
    </i>
    <i>
      <x v="293"/>
      <x v="327"/>
    </i>
    <i>
      <x v="294"/>
      <x v="124"/>
    </i>
    <i r="1">
      <x v="125"/>
    </i>
    <i>
      <x v="295"/>
      <x v="217"/>
    </i>
    <i>
      <x v="296"/>
      <x v="168"/>
    </i>
    <i r="1">
      <x v="170"/>
    </i>
    <i r="1">
      <x v="189"/>
    </i>
    <i r="1">
      <x v="228"/>
    </i>
    <i>
      <x v="297"/>
      <x v="264"/>
    </i>
    <i>
      <x v="298"/>
      <x v="251"/>
    </i>
    <i>
      <x v="299"/>
      <x v="135"/>
    </i>
    <i>
      <x v="300"/>
      <x v="33"/>
    </i>
    <i>
      <x v="301"/>
      <x v="194"/>
    </i>
    <i>
      <x v="302"/>
      <x v="29"/>
    </i>
    <i>
      <x v="303"/>
      <x v="192"/>
    </i>
    <i r="1">
      <x v="193"/>
    </i>
    <i>
      <x v="304"/>
      <x v="68"/>
    </i>
    <i>
      <x v="305"/>
      <x v="89"/>
    </i>
    <i>
      <x v="306"/>
      <x v="299"/>
    </i>
    <i>
      <x v="307"/>
      <x v="20"/>
    </i>
    <i r="1">
      <x v="120"/>
    </i>
    <i>
      <x v="308"/>
      <x v="81"/>
    </i>
    <i r="1">
      <x v="83"/>
    </i>
    <i>
      <x v="309"/>
      <x v="299"/>
    </i>
    <i>
      <x v="310"/>
      <x v="10"/>
    </i>
    <i r="1">
      <x v="80"/>
    </i>
    <i>
      <x v="311"/>
      <x v="29"/>
    </i>
    <i>
      <x v="312"/>
      <x v="244"/>
    </i>
    <i>
      <x v="313"/>
      <x v="67"/>
    </i>
    <i r="1">
      <x v="77"/>
    </i>
    <i>
      <x v="314"/>
      <x v="197"/>
    </i>
    <i>
      <x v="315"/>
      <x v="11"/>
    </i>
    <i r="1">
      <x v="80"/>
    </i>
    <i>
      <x v="316"/>
      <x v="50"/>
    </i>
    <i>
      <x v="317"/>
      <x v="34"/>
    </i>
    <i>
      <x v="318"/>
      <x v="89"/>
    </i>
    <i>
      <x v="319"/>
      <x v="65"/>
    </i>
    <i>
      <x v="320"/>
      <x v="1"/>
    </i>
    <i>
      <x v="321"/>
      <x v="197"/>
    </i>
    <i r="1">
      <x v="274"/>
    </i>
    <i>
      <x v="322"/>
      <x v="223"/>
    </i>
    <i>
      <x v="323"/>
      <x v="51"/>
    </i>
    <i>
      <x v="324"/>
      <x v="288"/>
    </i>
    <i>
      <x v="325"/>
      <x v="231"/>
    </i>
    <i>
      <x v="326"/>
      <x v="51"/>
    </i>
    <i>
      <x v="327"/>
      <x v="289"/>
    </i>
    <i>
      <x v="328"/>
      <x v="31"/>
    </i>
    <i>
      <x v="329"/>
      <x v="43"/>
    </i>
    <i>
      <x v="330"/>
      <x v="319"/>
    </i>
    <i>
      <x v="331"/>
      <x v="29"/>
    </i>
    <i>
      <x v="332"/>
      <x v="302"/>
    </i>
    <i>
      <x v="333"/>
      <x v="230"/>
    </i>
    <i r="1">
      <x v="253"/>
    </i>
    <i>
      <x v="334"/>
      <x v="241"/>
    </i>
    <i>
      <x v="335"/>
      <x v="287"/>
    </i>
    <i>
      <x v="336"/>
      <x v="78"/>
    </i>
    <i>
      <x v="337"/>
      <x v="234"/>
    </i>
    <i>
      <x v="338"/>
      <x v="333"/>
    </i>
    <i>
      <x v="339"/>
      <x v="41"/>
    </i>
    <i>
      <x v="340"/>
      <x v="270"/>
    </i>
    <i>
      <x v="341"/>
      <x v="130"/>
    </i>
    <i>
      <x v="342"/>
      <x v="238"/>
    </i>
    <i>
      <x v="343"/>
      <x v="24"/>
    </i>
    <i>
      <x v="344"/>
      <x v="310"/>
    </i>
    <i>
      <x v="345"/>
      <x v="162"/>
    </i>
    <i>
      <x v="346"/>
      <x v="153"/>
    </i>
    <i>
      <x v="347"/>
      <x v="226"/>
    </i>
    <i>
      <x v="348"/>
      <x v="248"/>
    </i>
    <i>
      <x v="349"/>
      <x v="224"/>
    </i>
    <i r="1">
      <x v="236"/>
    </i>
    <i>
      <x v="350"/>
      <x v="109"/>
    </i>
    <i>
      <x v="351"/>
      <x v="272"/>
    </i>
    <i>
      <x v="352"/>
      <x v="171"/>
    </i>
    <i>
      <x v="353"/>
      <x v="29"/>
    </i>
    <i>
      <x v="354"/>
      <x v="14"/>
    </i>
    <i>
      <x v="355"/>
      <x v="273"/>
    </i>
    <i>
      <x v="356"/>
      <x v="112"/>
    </i>
    <i>
      <x v="357"/>
      <x v="239"/>
    </i>
    <i>
      <x v="358"/>
      <x v="40"/>
    </i>
    <i>
      <x v="359"/>
      <x v="225"/>
    </i>
    <i>
      <x v="360"/>
      <x v="205"/>
    </i>
    <i>
      <x v="361"/>
      <x v="169"/>
    </i>
    <i>
      <x v="362"/>
      <x v="169"/>
    </i>
    <i>
      <x v="363"/>
      <x v="169"/>
    </i>
    <i>
      <x v="364"/>
      <x v="269"/>
    </i>
    <i>
      <x v="365"/>
      <x v="298"/>
    </i>
    <i>
      <x v="366"/>
      <x v="173"/>
    </i>
    <i>
      <x v="367"/>
      <x v="60"/>
    </i>
    <i>
      <x v="368"/>
      <x v="66"/>
    </i>
    <i>
      <x v="369"/>
      <x v="22"/>
    </i>
    <i>
      <x v="370"/>
      <x v="294"/>
    </i>
    <i>
      <x v="371"/>
      <x v="4"/>
    </i>
    <i>
      <x v="372"/>
      <x v="66"/>
    </i>
    <i>
      <x v="373"/>
      <x v="294"/>
    </i>
    <i>
      <x v="374"/>
      <x v="66"/>
    </i>
    <i>
      <x v="375"/>
      <x v="64"/>
    </i>
    <i>
      <x v="376"/>
      <x v="89"/>
    </i>
    <i>
      <x v="377"/>
      <x v="179"/>
    </i>
    <i>
      <x v="378"/>
      <x v="74"/>
    </i>
    <i>
      <x v="379"/>
      <x v="314"/>
    </i>
    <i>
      <x v="380"/>
      <x v="272"/>
    </i>
    <i>
      <x v="381"/>
      <x v="304"/>
    </i>
    <i r="1">
      <x v="315"/>
    </i>
    <i>
      <x v="382"/>
      <x v="184"/>
    </i>
    <i>
      <x v="383"/>
      <x v="154"/>
    </i>
    <i>
      <x v="384"/>
      <x v="237"/>
    </i>
    <i>
      <x v="385"/>
      <x v="310"/>
    </i>
    <i t="grand">
      <x/>
    </i>
  </rowItems>
  <colItems count="1">
    <i/>
  </colItems>
  <dataFields count="1">
    <dataField name="Sum of Sales amt $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4" minRefreshableVersion="3" createdVersion="4" useAutoFormatting="1" compact="0" indent="0" compactData="0" showDrill="1" multipleFieldFilters="0">
  <location ref="E3:F343" firstHeaderRow="1" firstDataRow="1" firstDataCol="1"/>
  <pivotFields count="9">
    <pivotField compact="0" defaultSubtotal="0" outline="0" numFmtId="58" showAll="0"/>
    <pivotField compact="0" defaultSubtotal="0" outline="0" showAll="0"/>
    <pivotField compact="0" defaultSubtotal="0" outline="0" showAll="0"/>
    <pivotField compact="0" defaultSubtotal="0" outline="0" showAll="0">
      <items count="339">
        <item x="272"/>
        <item x="191"/>
        <item x="108"/>
        <item x="39"/>
        <item x="79"/>
        <item x="168"/>
        <item x="252"/>
        <item x="270"/>
        <item x="3"/>
        <item x="211"/>
        <item x="289"/>
        <item x="294"/>
        <item x="239"/>
        <item x="95"/>
        <item x="209"/>
        <item x="82"/>
        <item x="262"/>
        <item x="260"/>
        <item x="255"/>
        <item x="34"/>
        <item x="286"/>
        <item x="271"/>
        <item x="333"/>
        <item x="265"/>
        <item x="313"/>
        <item x="24"/>
        <item x="192"/>
        <item x="56"/>
        <item x="188"/>
        <item x="283"/>
        <item x="202"/>
        <item x="303"/>
        <item x="204"/>
        <item x="275"/>
        <item x="296"/>
        <item x="106"/>
        <item x="194"/>
        <item x="134"/>
        <item x="231"/>
        <item x="11"/>
        <item x="326"/>
        <item x="205"/>
        <item x="169"/>
        <item x="304"/>
        <item x="21"/>
        <item x="208"/>
        <item x="1"/>
        <item x="257"/>
        <item x="116"/>
        <item x="138"/>
        <item x="295"/>
        <item x="299"/>
        <item x="179"/>
        <item x="20"/>
        <item x="65"/>
        <item x="52"/>
        <item x="200"/>
        <item x="59"/>
        <item x="53"/>
        <item x="15"/>
        <item x="332"/>
        <item x="93"/>
        <item x="70"/>
        <item x="58"/>
        <item x="36"/>
        <item x="297"/>
        <item x="219"/>
        <item x="291"/>
        <item x="285"/>
        <item x="122"/>
        <item x="181"/>
        <item x="88"/>
        <item x="222"/>
        <item x="114"/>
        <item x="335"/>
        <item x="73"/>
        <item x="74"/>
        <item x="292"/>
        <item x="309"/>
        <item x="207"/>
        <item x="16"/>
        <item x="40"/>
        <item x="48"/>
        <item x="288"/>
        <item x="50"/>
        <item x="47"/>
        <item x="33"/>
        <item x="35"/>
        <item x="61"/>
        <item x="123"/>
        <item x="62"/>
        <item x="213"/>
        <item x="4"/>
        <item x="268"/>
        <item x="5"/>
        <item x="266"/>
        <item x="206"/>
        <item x="14"/>
        <item x="130"/>
        <item x="273"/>
        <item x="166"/>
        <item x="242"/>
        <item x="182"/>
        <item x="249"/>
        <item x="180"/>
        <item x="250"/>
        <item x="131"/>
        <item x="57"/>
        <item x="99"/>
        <item x="37"/>
        <item x="225"/>
        <item x="258"/>
        <item x="324"/>
        <item x="151"/>
        <item x="203"/>
        <item x="22"/>
        <item x="42"/>
        <item x="155"/>
        <item x="156"/>
        <item x="64"/>
        <item x="287"/>
        <item x="67"/>
        <item x="41"/>
        <item x="12"/>
        <item x="277"/>
        <item x="278"/>
        <item x="170"/>
        <item x="164"/>
        <item x="135"/>
        <item x="165"/>
        <item x="54"/>
        <item x="75"/>
        <item x="254"/>
        <item x="274"/>
        <item x="214"/>
        <item x="66"/>
        <item x="160"/>
        <item x="32"/>
        <item x="43"/>
        <item x="44"/>
        <item x="83"/>
        <item x="145"/>
        <item x="104"/>
        <item x="189"/>
        <item x="229"/>
        <item x="6"/>
        <item x="190"/>
        <item x="263"/>
        <item x="247"/>
        <item x="248"/>
        <item x="154"/>
        <item x="13"/>
        <item x="244"/>
        <item x="316"/>
        <item x="72"/>
        <item x="264"/>
        <item x="112"/>
        <item x="101"/>
        <item x="113"/>
        <item x="102"/>
        <item x="91"/>
        <item x="19"/>
        <item x="315"/>
        <item x="195"/>
        <item x="253"/>
        <item x="236"/>
        <item x="212"/>
        <item x="269"/>
        <item x="109"/>
        <item x="329"/>
        <item x="280"/>
        <item x="322"/>
        <item x="147"/>
        <item x="331"/>
        <item x="80"/>
        <item x="87"/>
        <item x="125"/>
        <item x="167"/>
        <item x="148"/>
        <item x="334"/>
        <item x="46"/>
        <item x="223"/>
        <item x="141"/>
        <item x="220"/>
        <item x="337"/>
        <item x="183"/>
        <item x="150"/>
        <item x="196"/>
        <item x="81"/>
        <item x="149"/>
        <item x="51"/>
        <item x="126"/>
        <item x="146"/>
        <item x="284"/>
        <item x="139"/>
        <item x="140"/>
        <item x="136"/>
        <item x="293"/>
        <item x="153"/>
        <item x="174"/>
        <item x="119"/>
        <item x="184"/>
        <item x="17"/>
        <item x="127"/>
        <item x="49"/>
        <item x="328"/>
        <item x="84"/>
        <item x="63"/>
        <item x="92"/>
        <item x="215"/>
        <item x="120"/>
        <item x="237"/>
        <item x="94"/>
        <item x="216"/>
        <item x="143"/>
        <item x="226"/>
        <item x="176"/>
        <item x="279"/>
        <item x="234"/>
        <item x="171"/>
        <item x="245"/>
        <item x="246"/>
        <item x="137"/>
        <item x="298"/>
        <item x="319"/>
        <item x="327"/>
        <item x="317"/>
        <item x="142"/>
        <item x="281"/>
        <item x="68"/>
        <item x="305"/>
        <item x="301"/>
        <item x="238"/>
        <item x="233"/>
        <item x="310"/>
        <item x="133"/>
        <item x="320"/>
        <item x="338"/>
        <item x="312"/>
        <item x="325"/>
        <item x="217"/>
        <item x="307"/>
        <item x="241"/>
        <item x="117"/>
        <item x="290"/>
        <item x="243"/>
        <item x="121"/>
        <item x="107"/>
        <item x="318"/>
        <item x="124"/>
        <item x="69"/>
        <item x="282"/>
        <item x="177"/>
        <item x="306"/>
        <item x="96"/>
        <item x="97"/>
        <item x="30"/>
        <item x="55"/>
        <item x="251"/>
        <item x="29"/>
        <item x="28"/>
        <item x="261"/>
        <item x="132"/>
        <item x="172"/>
        <item x="23"/>
        <item x="86"/>
        <item x="7"/>
        <item x="90"/>
        <item x="240"/>
        <item x="330"/>
        <item x="311"/>
        <item x="103"/>
        <item x="321"/>
        <item x="323"/>
        <item x="128"/>
        <item x="76"/>
        <item x="224"/>
        <item x="31"/>
        <item x="157"/>
        <item x="158"/>
        <item x="159"/>
        <item x="25"/>
        <item x="197"/>
        <item x="221"/>
        <item x="187"/>
        <item x="173"/>
        <item x="144"/>
        <item x="308"/>
        <item x="300"/>
        <item x="302"/>
        <item x="267"/>
        <item x="256"/>
        <item x="18"/>
        <item x="235"/>
        <item x="129"/>
        <item x="210"/>
        <item x="98"/>
        <item x="105"/>
        <item x="175"/>
        <item x="230"/>
        <item x="2"/>
        <item x="115"/>
        <item x="152"/>
        <item x="161"/>
        <item x="336"/>
        <item x="71"/>
        <item x="38"/>
        <item x="9"/>
        <item x="8"/>
        <item x="185"/>
        <item x="314"/>
        <item x="10"/>
        <item x="162"/>
        <item x="0"/>
        <item x="201"/>
        <item x="227"/>
        <item x="178"/>
        <item x="45"/>
        <item x="89"/>
        <item x="259"/>
        <item x="111"/>
        <item x="110"/>
        <item x="228"/>
        <item x="163"/>
        <item x="100"/>
        <item x="85"/>
        <item x="198"/>
        <item x="276"/>
        <item x="193"/>
        <item x="199"/>
        <item x="232"/>
        <item x="186"/>
        <item x="218"/>
        <item x="60"/>
        <item x="118"/>
        <item x="77"/>
        <item x="78"/>
        <item x="26"/>
        <item x="27"/>
      </items>
    </pivotField>
    <pivotField axis="axisRow" compact="0" defaultSubtotal="0" outline="0" showAll="0">
      <items count="339">
        <item x="165"/>
        <item x="286"/>
        <item x="48"/>
        <item x="321"/>
        <item x="212"/>
        <item x="84"/>
        <item x="305"/>
        <item x="18"/>
        <item x="238"/>
        <item x="328"/>
        <item x="97"/>
        <item x="186"/>
        <item x="233"/>
        <item x="33"/>
        <item x="222"/>
        <item x="169"/>
        <item x="59"/>
        <item x="46"/>
        <item x="273"/>
        <item x="299"/>
        <item x="45"/>
        <item x="47"/>
        <item x="167"/>
        <item x="327"/>
        <item x="213"/>
        <item x="197"/>
        <item x="171"/>
        <item x="218"/>
        <item x="77"/>
        <item x="192"/>
        <item x="166"/>
        <item x="55"/>
        <item x="281"/>
        <item x="112"/>
        <item x="240"/>
        <item x="29"/>
        <item x="214"/>
        <item x="73"/>
        <item x="27"/>
        <item x="34"/>
        <item x="189"/>
        <item x="254"/>
        <item x="215"/>
        <item x="337"/>
        <item x="17"/>
        <item x="231"/>
        <item x="38"/>
        <item x="229"/>
        <item x="142"/>
        <item x="182"/>
        <item x="115"/>
        <item x="128"/>
        <item x="202"/>
        <item x="120"/>
        <item x="106"/>
        <item x="188"/>
        <item x="175"/>
        <item x="2"/>
        <item x="199"/>
        <item x="291"/>
        <item x="9"/>
        <item x="262"/>
        <item x="42"/>
        <item x="256"/>
        <item x="157"/>
        <item x="78"/>
        <item x="174"/>
        <item x="250"/>
        <item x="303"/>
        <item x="134"/>
        <item x="266"/>
        <item x="300"/>
        <item x="109"/>
        <item x="308"/>
        <item x="253"/>
        <item x="122"/>
        <item x="183"/>
        <item x="280"/>
        <item x="76"/>
        <item x="155"/>
        <item x="228"/>
        <item x="102"/>
        <item x="225"/>
        <item x="40"/>
        <item x="248"/>
        <item x="4"/>
        <item x="287"/>
        <item x="127"/>
        <item x="307"/>
        <item x="15"/>
        <item x="11"/>
        <item x="267"/>
        <item x="85"/>
        <item x="244"/>
        <item x="219"/>
        <item x="124"/>
        <item x="194"/>
        <item x="242"/>
        <item x="170"/>
        <item x="161"/>
        <item x="232"/>
        <item x="51"/>
        <item x="104"/>
        <item x="113"/>
        <item x="98"/>
        <item x="0"/>
        <item x="10"/>
        <item x="68"/>
        <item x="237"/>
        <item x="141"/>
        <item x="207"/>
        <item x="57"/>
        <item x="198"/>
        <item x="239"/>
        <item x="50"/>
        <item x="246"/>
        <item x="1"/>
        <item x="114"/>
        <item x="282"/>
        <item x="3"/>
        <item x="211"/>
        <item x="5"/>
        <item x="12"/>
        <item x="13"/>
        <item x="8"/>
        <item x="7"/>
        <item x="16"/>
        <item x="20"/>
        <item x="21"/>
        <item x="22"/>
        <item x="23"/>
        <item x="26"/>
        <item x="24"/>
        <item x="25"/>
        <item x="28"/>
        <item x="30"/>
        <item x="31"/>
        <item x="32"/>
        <item x="35"/>
        <item x="41"/>
        <item x="37"/>
        <item x="36"/>
        <item x="44"/>
        <item x="49"/>
        <item x="52"/>
        <item x="53"/>
        <item x="54"/>
        <item x="56"/>
        <item x="58"/>
        <item x="60"/>
        <item x="61"/>
        <item x="63"/>
        <item x="64"/>
        <item x="65"/>
        <item x="66"/>
        <item x="67"/>
        <item x="69"/>
        <item x="70"/>
        <item x="71"/>
        <item x="72"/>
        <item x="74"/>
        <item x="75"/>
        <item x="79"/>
        <item x="80"/>
        <item x="81"/>
        <item x="82"/>
        <item x="83"/>
        <item x="86"/>
        <item x="87"/>
        <item x="88"/>
        <item x="89"/>
        <item x="90"/>
        <item x="91"/>
        <item x="92"/>
        <item x="93"/>
        <item x="94"/>
        <item x="95"/>
        <item x="96"/>
        <item x="99"/>
        <item x="101"/>
        <item x="103"/>
        <item x="105"/>
        <item x="107"/>
        <item x="108"/>
        <item x="110"/>
        <item x="111"/>
        <item x="116"/>
        <item x="117"/>
        <item x="118"/>
        <item x="119"/>
        <item x="121"/>
        <item x="123"/>
        <item x="125"/>
        <item x="126"/>
        <item x="129"/>
        <item x="130"/>
        <item x="131"/>
        <item x="132"/>
        <item x="133"/>
        <item x="135"/>
        <item x="136"/>
        <item x="137"/>
        <item x="153"/>
        <item x="154"/>
        <item x="152"/>
        <item x="151"/>
        <item x="147"/>
        <item x="146"/>
        <item x="145"/>
        <item x="144"/>
        <item x="143"/>
        <item x="140"/>
        <item x="139"/>
        <item x="138"/>
        <item x="292"/>
        <item x="14"/>
        <item x="176"/>
        <item x="164"/>
        <item x="317"/>
        <item x="221"/>
        <item x="330"/>
        <item x="332"/>
        <item x="251"/>
        <item x="62"/>
        <item x="19"/>
        <item x="43"/>
        <item x="187"/>
        <item x="149"/>
        <item x="208"/>
        <item x="6"/>
        <item x="234"/>
        <item x="148"/>
        <item x="150"/>
        <item x="156"/>
        <item x="158"/>
        <item x="159"/>
        <item x="160"/>
        <item x="162"/>
        <item x="163"/>
        <item x="168"/>
        <item x="172"/>
        <item x="173"/>
        <item x="181"/>
        <item x="177"/>
        <item x="178"/>
        <item x="302"/>
        <item x="179"/>
        <item x="180"/>
        <item x="184"/>
        <item x="185"/>
        <item x="190"/>
        <item x="191"/>
        <item x="193"/>
        <item x="195"/>
        <item x="196"/>
        <item x="200"/>
        <item x="203"/>
        <item x="201"/>
        <item x="204"/>
        <item x="205"/>
        <item x="206"/>
        <item x="209"/>
        <item x="210"/>
        <item x="216"/>
        <item x="217"/>
        <item x="220"/>
        <item x="223"/>
        <item x="224"/>
        <item x="226"/>
        <item x="227"/>
        <item x="230"/>
        <item x="235"/>
        <item x="236"/>
        <item x="241"/>
        <item x="243"/>
        <item x="245"/>
        <item x="247"/>
        <item x="249"/>
        <item x="252"/>
        <item x="255"/>
        <item x="257"/>
        <item x="258"/>
        <item x="259"/>
        <item x="261"/>
        <item x="260"/>
        <item x="263"/>
        <item x="264"/>
        <item x="265"/>
        <item x="268"/>
        <item x="269"/>
        <item x="270"/>
        <item x="271"/>
        <item x="272"/>
        <item x="274"/>
        <item x="275"/>
        <item x="276"/>
        <item x="277"/>
        <item x="278"/>
        <item x="279"/>
        <item x="283"/>
        <item x="284"/>
        <item x="285"/>
        <item x="288"/>
        <item x="289"/>
        <item x="290"/>
        <item x="309"/>
        <item x="293"/>
        <item x="294"/>
        <item x="295"/>
        <item x="296"/>
        <item x="297"/>
        <item x="298"/>
        <item x="301"/>
        <item x="304"/>
        <item x="306"/>
        <item x="310"/>
        <item x="311"/>
        <item x="312"/>
        <item x="313"/>
        <item x="314"/>
        <item x="315"/>
        <item x="316"/>
        <item x="318"/>
        <item x="319"/>
        <item x="320"/>
        <item x="322"/>
        <item x="323"/>
        <item x="324"/>
        <item x="325"/>
        <item x="326"/>
        <item x="329"/>
        <item x="331"/>
        <item x="333"/>
        <item x="334"/>
        <item x="335"/>
        <item x="336"/>
        <item x="338"/>
        <item x="100"/>
        <item x="39"/>
      </items>
    </pivotField>
    <pivotField compact="0" defaultSubtotal="0" outline="0" showAll="0">
      <items count="3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</items>
    </pivotField>
    <pivotField compact="0" defaultSubtotal="0" outline="0" numFmtId="3" showAll="0">
      <items count="2">
        <item x="1"/>
        <item x="0"/>
      </items>
    </pivotField>
    <pivotField compact="0" defaultSubtotal="0" outline="0" numFmtId="3" showAll="0"/>
    <pivotField dataField="1" compact="0" defaultSubtotal="0" outline="0" numFmtId="3" showAll="0"/>
  </pivotFields>
  <rowFields count="1">
    <field x="4"/>
  </rowFields>
  <rowItems count="3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 t="grand">
      <x/>
    </i>
  </rowItems>
  <colItems count="1">
    <i/>
  </colItems>
  <dataFields count="1">
    <dataField name="Sum of Sales amt $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4" minRefreshableVersion="3" createdVersion="4" useAutoFormatting="1" compact="0" indent="0" compactData="0" showDrill="1" multipleFieldFilters="0" chartFormat="3">
  <location ref="Y3:Z14" firstHeaderRow="1" firstDataRow="1" firstDataCol="1"/>
  <pivotFields count="9">
    <pivotField compact="0" defaultSubtotal="0" outline="0" numFmtId="58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7">
        <item x="4"/>
        <item x="2"/>
        <item x="1"/>
        <item x="5"/>
        <item x="0"/>
        <item x="6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measureFilter="1" compact="0" sortType="descending" defaultSubtotal="0" outline="0" showAll="0">
      <items count="339">
        <item x="272"/>
        <item x="191"/>
        <item x="108"/>
        <item x="39"/>
        <item x="79"/>
        <item x="168"/>
        <item x="252"/>
        <item x="270"/>
        <item x="3"/>
        <item x="211"/>
        <item x="289"/>
        <item x="294"/>
        <item x="239"/>
        <item x="95"/>
        <item x="209"/>
        <item x="82"/>
        <item x="262"/>
        <item x="260"/>
        <item x="255"/>
        <item x="34"/>
        <item x="286"/>
        <item x="271"/>
        <item x="333"/>
        <item x="265"/>
        <item x="313"/>
        <item x="24"/>
        <item x="192"/>
        <item x="56"/>
        <item x="188"/>
        <item x="283"/>
        <item x="202"/>
        <item x="303"/>
        <item x="204"/>
        <item x="275"/>
        <item x="296"/>
        <item x="106"/>
        <item x="194"/>
        <item x="134"/>
        <item x="231"/>
        <item x="11"/>
        <item x="326"/>
        <item x="205"/>
        <item x="169"/>
        <item x="304"/>
        <item x="21"/>
        <item x="208"/>
        <item x="1"/>
        <item x="257"/>
        <item x="116"/>
        <item x="138"/>
        <item x="295"/>
        <item x="299"/>
        <item x="179"/>
        <item x="20"/>
        <item x="65"/>
        <item x="52"/>
        <item x="200"/>
        <item x="59"/>
        <item x="53"/>
        <item x="15"/>
        <item x="332"/>
        <item x="93"/>
        <item x="70"/>
        <item x="58"/>
        <item x="36"/>
        <item x="297"/>
        <item x="219"/>
        <item x="291"/>
        <item x="285"/>
        <item x="122"/>
        <item x="181"/>
        <item x="88"/>
        <item x="222"/>
        <item x="114"/>
        <item x="335"/>
        <item x="73"/>
        <item x="74"/>
        <item x="292"/>
        <item x="309"/>
        <item x="207"/>
        <item x="16"/>
        <item x="40"/>
        <item x="48"/>
        <item x="288"/>
        <item x="50"/>
        <item x="47"/>
        <item x="33"/>
        <item x="35"/>
        <item x="61"/>
        <item x="123"/>
        <item x="62"/>
        <item x="213"/>
        <item x="4"/>
        <item x="268"/>
        <item x="5"/>
        <item x="266"/>
        <item x="206"/>
        <item x="14"/>
        <item x="130"/>
        <item x="273"/>
        <item x="166"/>
        <item x="242"/>
        <item x="182"/>
        <item x="249"/>
        <item x="180"/>
        <item x="250"/>
        <item x="131"/>
        <item x="57"/>
        <item x="99"/>
        <item x="37"/>
        <item x="225"/>
        <item x="258"/>
        <item x="324"/>
        <item x="151"/>
        <item x="203"/>
        <item x="22"/>
        <item x="42"/>
        <item x="155"/>
        <item x="156"/>
        <item x="64"/>
        <item x="287"/>
        <item x="67"/>
        <item x="41"/>
        <item x="12"/>
        <item x="277"/>
        <item x="278"/>
        <item x="170"/>
        <item x="164"/>
        <item x="135"/>
        <item x="165"/>
        <item x="54"/>
        <item x="75"/>
        <item x="254"/>
        <item x="274"/>
        <item x="214"/>
        <item x="66"/>
        <item x="160"/>
        <item x="32"/>
        <item x="43"/>
        <item x="44"/>
        <item x="83"/>
        <item x="145"/>
        <item x="104"/>
        <item x="189"/>
        <item x="229"/>
        <item x="6"/>
        <item x="190"/>
        <item x="263"/>
        <item x="247"/>
        <item x="248"/>
        <item x="154"/>
        <item x="13"/>
        <item x="244"/>
        <item x="316"/>
        <item x="72"/>
        <item x="264"/>
        <item x="112"/>
        <item x="101"/>
        <item x="113"/>
        <item x="102"/>
        <item x="91"/>
        <item x="19"/>
        <item x="315"/>
        <item x="195"/>
        <item x="253"/>
        <item x="236"/>
        <item x="212"/>
        <item x="269"/>
        <item x="109"/>
        <item x="329"/>
        <item x="280"/>
        <item x="322"/>
        <item x="147"/>
        <item x="331"/>
        <item x="80"/>
        <item x="87"/>
        <item x="125"/>
        <item x="167"/>
        <item x="148"/>
        <item x="334"/>
        <item x="46"/>
        <item x="223"/>
        <item x="141"/>
        <item x="220"/>
        <item x="337"/>
        <item x="183"/>
        <item x="150"/>
        <item x="196"/>
        <item x="81"/>
        <item x="149"/>
        <item x="51"/>
        <item x="126"/>
        <item x="146"/>
        <item x="284"/>
        <item x="139"/>
        <item x="140"/>
        <item x="136"/>
        <item x="293"/>
        <item x="153"/>
        <item x="174"/>
        <item x="119"/>
        <item x="184"/>
        <item x="17"/>
        <item x="127"/>
        <item x="49"/>
        <item x="328"/>
        <item x="84"/>
        <item x="63"/>
        <item x="92"/>
        <item x="215"/>
        <item x="120"/>
        <item x="237"/>
        <item x="94"/>
        <item x="216"/>
        <item x="143"/>
        <item x="226"/>
        <item x="176"/>
        <item x="279"/>
        <item x="234"/>
        <item x="171"/>
        <item x="245"/>
        <item x="246"/>
        <item x="137"/>
        <item x="298"/>
        <item x="319"/>
        <item x="327"/>
        <item x="317"/>
        <item x="142"/>
        <item x="281"/>
        <item x="68"/>
        <item x="305"/>
        <item x="301"/>
        <item x="238"/>
        <item x="233"/>
        <item x="310"/>
        <item x="133"/>
        <item x="320"/>
        <item x="338"/>
        <item x="312"/>
        <item x="325"/>
        <item x="217"/>
        <item x="307"/>
        <item x="241"/>
        <item x="117"/>
        <item x="290"/>
        <item x="243"/>
        <item x="121"/>
        <item x="107"/>
        <item x="318"/>
        <item x="124"/>
        <item x="69"/>
        <item x="282"/>
        <item x="177"/>
        <item x="306"/>
        <item x="96"/>
        <item x="97"/>
        <item x="30"/>
        <item x="55"/>
        <item x="251"/>
        <item x="29"/>
        <item x="28"/>
        <item x="261"/>
        <item x="132"/>
        <item x="172"/>
        <item x="23"/>
        <item x="86"/>
        <item x="7"/>
        <item x="90"/>
        <item x="240"/>
        <item x="330"/>
        <item x="311"/>
        <item x="103"/>
        <item x="321"/>
        <item x="323"/>
        <item x="128"/>
        <item x="76"/>
        <item x="224"/>
        <item x="31"/>
        <item x="157"/>
        <item x="158"/>
        <item x="159"/>
        <item x="25"/>
        <item x="197"/>
        <item x="221"/>
        <item x="187"/>
        <item x="173"/>
        <item x="144"/>
        <item x="308"/>
        <item x="300"/>
        <item x="302"/>
        <item x="267"/>
        <item x="256"/>
        <item x="18"/>
        <item x="235"/>
        <item x="129"/>
        <item x="210"/>
        <item x="98"/>
        <item x="105"/>
        <item x="175"/>
        <item x="230"/>
        <item x="2"/>
        <item x="115"/>
        <item x="152"/>
        <item x="161"/>
        <item x="336"/>
        <item x="71"/>
        <item x="38"/>
        <item x="9"/>
        <item x="8"/>
        <item x="185"/>
        <item x="314"/>
        <item x="10"/>
        <item x="162"/>
        <item x="0"/>
        <item x="201"/>
        <item x="227"/>
        <item x="178"/>
        <item x="45"/>
        <item x="89"/>
        <item x="259"/>
        <item x="111"/>
        <item x="110"/>
        <item x="228"/>
        <item x="163"/>
        <item x="100"/>
        <item x="85"/>
        <item x="198"/>
        <item x="276"/>
        <item x="193"/>
        <item x="199"/>
        <item x="232"/>
        <item x="186"/>
        <item x="218"/>
        <item x="60"/>
        <item x="118"/>
        <item x="77"/>
        <item x="78"/>
        <item x="26"/>
        <item x="2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339">
        <item x="165"/>
        <item x="286"/>
        <item x="48"/>
        <item x="321"/>
        <item x="212"/>
        <item x="84"/>
        <item x="305"/>
        <item x="18"/>
        <item x="238"/>
        <item x="328"/>
        <item x="97"/>
        <item x="186"/>
        <item x="233"/>
        <item x="33"/>
        <item x="222"/>
        <item x="169"/>
        <item x="59"/>
        <item x="46"/>
        <item x="273"/>
        <item x="299"/>
        <item x="45"/>
        <item x="47"/>
        <item x="167"/>
        <item x="327"/>
        <item x="213"/>
        <item x="197"/>
        <item x="171"/>
        <item x="218"/>
        <item x="77"/>
        <item x="192"/>
        <item x="166"/>
        <item x="55"/>
        <item x="281"/>
        <item x="112"/>
        <item x="240"/>
        <item x="29"/>
        <item x="214"/>
        <item x="73"/>
        <item x="27"/>
        <item x="34"/>
        <item x="189"/>
        <item x="254"/>
        <item x="215"/>
        <item x="337"/>
        <item x="17"/>
        <item x="231"/>
        <item x="38"/>
        <item x="229"/>
        <item x="142"/>
        <item x="182"/>
        <item x="115"/>
        <item x="128"/>
        <item x="202"/>
        <item x="120"/>
        <item x="106"/>
        <item x="188"/>
        <item x="175"/>
        <item x="2"/>
        <item x="199"/>
        <item x="291"/>
        <item x="9"/>
        <item x="262"/>
        <item x="42"/>
        <item x="256"/>
        <item x="157"/>
        <item x="78"/>
        <item x="174"/>
        <item x="250"/>
        <item x="303"/>
        <item x="134"/>
        <item x="266"/>
        <item x="300"/>
        <item x="109"/>
        <item x="308"/>
        <item x="253"/>
        <item x="122"/>
        <item x="183"/>
        <item x="280"/>
        <item x="76"/>
        <item x="155"/>
        <item x="228"/>
        <item x="102"/>
        <item x="225"/>
        <item x="40"/>
        <item x="248"/>
        <item x="4"/>
        <item x="287"/>
        <item x="127"/>
        <item x="307"/>
        <item x="15"/>
        <item x="11"/>
        <item x="267"/>
        <item x="85"/>
        <item x="244"/>
        <item x="219"/>
        <item x="124"/>
        <item x="194"/>
        <item x="242"/>
        <item x="170"/>
        <item x="161"/>
        <item x="232"/>
        <item x="51"/>
        <item x="104"/>
        <item x="113"/>
        <item x="98"/>
        <item x="0"/>
        <item x="10"/>
        <item x="68"/>
        <item x="237"/>
        <item x="141"/>
        <item x="207"/>
        <item x="57"/>
        <item x="198"/>
        <item x="239"/>
        <item x="50"/>
        <item x="246"/>
        <item x="1"/>
        <item x="114"/>
        <item x="282"/>
        <item x="3"/>
        <item x="211"/>
        <item x="5"/>
        <item x="12"/>
        <item x="13"/>
        <item x="8"/>
        <item x="7"/>
        <item x="16"/>
        <item x="20"/>
        <item x="21"/>
        <item x="22"/>
        <item x="23"/>
        <item x="26"/>
        <item x="24"/>
        <item x="25"/>
        <item x="28"/>
        <item x="30"/>
        <item x="31"/>
        <item x="32"/>
        <item x="35"/>
        <item x="41"/>
        <item x="37"/>
        <item x="36"/>
        <item x="44"/>
        <item x="49"/>
        <item x="52"/>
        <item x="53"/>
        <item x="54"/>
        <item x="56"/>
        <item x="58"/>
        <item x="60"/>
        <item x="61"/>
        <item x="63"/>
        <item x="64"/>
        <item x="65"/>
        <item x="66"/>
        <item x="67"/>
        <item x="69"/>
        <item x="70"/>
        <item x="71"/>
        <item x="72"/>
        <item x="74"/>
        <item x="75"/>
        <item x="79"/>
        <item x="80"/>
        <item x="81"/>
        <item x="82"/>
        <item x="83"/>
        <item x="86"/>
        <item x="87"/>
        <item x="88"/>
        <item x="89"/>
        <item x="90"/>
        <item x="91"/>
        <item x="92"/>
        <item x="93"/>
        <item x="94"/>
        <item x="95"/>
        <item x="96"/>
        <item x="99"/>
        <item x="101"/>
        <item x="103"/>
        <item x="105"/>
        <item x="107"/>
        <item x="108"/>
        <item x="110"/>
        <item x="111"/>
        <item x="116"/>
        <item x="117"/>
        <item x="118"/>
        <item x="119"/>
        <item x="121"/>
        <item x="123"/>
        <item x="125"/>
        <item x="126"/>
        <item x="129"/>
        <item x="130"/>
        <item x="131"/>
        <item x="132"/>
        <item x="133"/>
        <item x="135"/>
        <item x="136"/>
        <item x="137"/>
        <item x="153"/>
        <item x="154"/>
        <item x="152"/>
        <item x="151"/>
        <item x="147"/>
        <item x="146"/>
        <item x="145"/>
        <item x="144"/>
        <item x="143"/>
        <item x="140"/>
        <item x="139"/>
        <item x="138"/>
        <item x="292"/>
        <item x="14"/>
        <item x="176"/>
        <item x="164"/>
        <item x="317"/>
        <item x="221"/>
        <item x="330"/>
        <item x="332"/>
        <item x="251"/>
        <item x="62"/>
        <item x="19"/>
        <item x="43"/>
        <item x="187"/>
        <item x="149"/>
        <item x="208"/>
        <item x="6"/>
        <item x="234"/>
        <item x="148"/>
        <item x="150"/>
        <item x="156"/>
        <item x="158"/>
        <item x="159"/>
        <item x="160"/>
        <item x="162"/>
        <item x="163"/>
        <item x="168"/>
        <item x="172"/>
        <item x="173"/>
        <item x="181"/>
        <item x="177"/>
        <item x="178"/>
        <item x="302"/>
        <item x="179"/>
        <item x="180"/>
        <item x="184"/>
        <item x="185"/>
        <item x="190"/>
        <item x="191"/>
        <item x="193"/>
        <item x="195"/>
        <item x="196"/>
        <item x="200"/>
        <item x="203"/>
        <item x="201"/>
        <item x="204"/>
        <item x="205"/>
        <item x="206"/>
        <item x="209"/>
        <item x="210"/>
        <item x="216"/>
        <item x="217"/>
        <item x="220"/>
        <item x="223"/>
        <item x="224"/>
        <item x="226"/>
        <item x="227"/>
        <item x="230"/>
        <item x="235"/>
        <item x="236"/>
        <item x="241"/>
        <item x="243"/>
        <item x="245"/>
        <item x="247"/>
        <item x="249"/>
        <item x="252"/>
        <item x="255"/>
        <item x="257"/>
        <item x="258"/>
        <item x="259"/>
        <item x="261"/>
        <item x="260"/>
        <item x="263"/>
        <item x="264"/>
        <item x="265"/>
        <item x="268"/>
        <item x="269"/>
        <item x="270"/>
        <item x="271"/>
        <item x="272"/>
        <item x="274"/>
        <item x="275"/>
        <item x="276"/>
        <item x="277"/>
        <item x="278"/>
        <item x="279"/>
        <item x="283"/>
        <item x="284"/>
        <item x="285"/>
        <item x="288"/>
        <item x="289"/>
        <item x="290"/>
        <item x="309"/>
        <item x="293"/>
        <item x="294"/>
        <item x="295"/>
        <item x="296"/>
        <item x="297"/>
        <item x="298"/>
        <item x="301"/>
        <item x="304"/>
        <item x="306"/>
        <item x="310"/>
        <item x="311"/>
        <item x="312"/>
        <item x="313"/>
        <item x="314"/>
        <item x="315"/>
        <item x="316"/>
        <item x="318"/>
        <item x="319"/>
        <item x="320"/>
        <item x="322"/>
        <item x="323"/>
        <item x="324"/>
        <item x="325"/>
        <item x="326"/>
        <item x="329"/>
        <item x="331"/>
        <item x="333"/>
        <item x="334"/>
        <item x="335"/>
        <item x="336"/>
        <item x="338"/>
        <item x="100"/>
        <item x="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3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numFmtId="3" showAl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numFmtId="3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numFmtId="3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11">
    <i>
      <x v="237"/>
    </i>
    <i>
      <x v="236"/>
    </i>
    <i>
      <x v="167"/>
    </i>
    <i>
      <x v="235"/>
    </i>
    <i>
      <x v="207"/>
    </i>
    <i>
      <x v="234"/>
    </i>
    <i>
      <x v="134"/>
    </i>
    <i>
      <x v="135"/>
    </i>
    <i>
      <x v="233"/>
    </i>
    <i>
      <x v="244"/>
    </i>
    <i t="grand">
      <x/>
    </i>
  </rowItems>
  <colItems count="1">
    <i/>
  </colItems>
  <dataFields count="1">
    <dataField name="Sum of Sales Amt" fld="7" baseField="0" baseItem="0" numFmtId="177"/>
  </dataFields>
  <formats count="1">
    <format dxfId="6">
      <pivotArea outline="0" collapsedLevelsAreSubtotals="1" fieldPosition="0"/>
    </format>
  </formats>
  <pivotTableStyleInfo name="PivotStyleLight16" showRowHeaders="1" showColHeaders="1" showLastColumn="1"/>
  <filters count="1">
    <filter evalOrder="-1" fld="3" iMeasureFld="0" id="5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cheme_Name" sourceName="Scheme Name">
  <pivotTables>
    <pivotTable tabId="13" name="PivotTable2"/>
    <pivotTable tabId="15" name="PivotTable2"/>
  </pivotTables>
  <data>
    <tabular pivotCacheId="1">
      <items count="7">
        <i x="2" s="0"/>
        <i x="1" s="1"/>
        <i x="5" s="0"/>
        <i x="0" s="0"/>
        <i x="3" s="0"/>
        <i x="4" s="0" nd="1"/>
        <i x="6" s="0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háng" sourceName="Tháng">
  <pivotTables>
    <pivotTable tabId="13" name="PivotTable2"/>
    <pivotTable tabId="15" name="PivotTable2"/>
  </pivotTables>
  <data>
    <tabular pivotCacheId="1" sortOrder="descending">
      <items count="14">
        <i x="3" s="0"/>
        <i x="2" s="0"/>
        <i x="1" s="1"/>
        <i x="0" s="0"/>
        <i x="6" s="0"/>
        <i x="5" s="0"/>
        <i x="4" s="0"/>
        <i x="13" s="0" nd="1"/>
        <i x="12" s="0" nd="1"/>
        <i x="11" s="0" nd="1"/>
        <i x="10" s="0" nd="1"/>
        <i x="9" s="0" nd="1"/>
        <i x="8" s="0" nd="1"/>
        <i x="7" s="0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cheme Name" cache="Slicer_Scheme_Name" caption="Scheme Name" rowHeight="241300"/>
  <slicer name="Tháng" cache="Slicer_Tháng" caption="Tháng" rowHeight="241300"/>
</slicers>
</file>

<file path=xl/tables/table1.xml><?xml version="1.0" encoding="utf-8"?>
<table xmlns="http://schemas.openxmlformats.org/spreadsheetml/2006/main" id="1" name="Du_Lieu" displayName="Du_Lieu" ref="A1:I496" totalsRowShown="0">
  <autoFilter xmlns:etc="http://www.wps.cn/officeDocument/2017/etCustomData" ref="A1:I496" etc:filterBottomFollowUsedRange="0"/>
  <tableColumns count="9">
    <tableColumn id="1" name="Date" dataDxfId="7"/>
    <tableColumn id="2" name="Scheme Name" dataDxfId="8"/>
    <tableColumn id="3" name="Store Name" dataDxfId="9"/>
    <tableColumn id="4" name="Item Name" dataDxfId="10"/>
    <tableColumn id="5" name="Member Account Code" dataDxfId="11"/>
    <tableColumn id="6" name="Invoice" dataDxfId="12"/>
    <tableColumn id="7" name="Sales Qty" dataDxfId="13"/>
    <tableColumn id="8" name="Sales Amt" dataDxfId="14"/>
    <tableColumn id="9" name="Tháng" dataDxfId="15">
      <calculatedColumnFormula>"Tháng"&amp;" "&amp;MONTH(Du_Lieu[[#This Row],[Date]])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11.xml"/><Relationship Id="rId8" Type="http://schemas.openxmlformats.org/officeDocument/2006/relationships/pivotTable" Target="../pivotTables/pivotTable10.xml"/><Relationship Id="rId7" Type="http://schemas.openxmlformats.org/officeDocument/2006/relationships/pivotTable" Target="../pivotTables/pivotTable9.xml"/><Relationship Id="rId6" Type="http://schemas.openxmlformats.org/officeDocument/2006/relationships/pivotTable" Target="../pivotTables/pivotTable8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B33"/>
  <sheetViews>
    <sheetView tabSelected="1" zoomScale="51" zoomScaleNormal="51" topLeftCell="A4" workbookViewId="0">
      <selection activeCell="E25" sqref="E25"/>
    </sheetView>
  </sheetViews>
  <sheetFormatPr defaultColWidth="9.13888888888889" defaultRowHeight="14.25" customHeight="1"/>
  <cols>
    <col min="1" max="1" width="32.8518518518519" style="20" customWidth="1"/>
    <col min="2" max="8" width="17.8518518518519" style="20" customWidth="1"/>
    <col min="9" max="9" width="9.13888888888889" style="20"/>
    <col min="10" max="10" width="24.5740740740741" style="20" customWidth="1"/>
    <col min="11" max="16384" width="9.13888888888889" style="20"/>
  </cols>
  <sheetData>
    <row r="1" ht="42.15" spans="1:1024 1025:16382">
      <c r="A1" s="21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4" t="s">
        <v>5</v>
      </c>
      <c r="G1" s="25" t="s">
        <v>6</v>
      </c>
      <c r="H1" s="26" t="s">
        <v>7</v>
      </c>
      <c r="J1" s="27" t="s">
        <v>8</v>
      </c>
    </row>
    <row r="2" ht="55.95" spans="1:1024 1025:16382">
      <c r="A2" s="28"/>
      <c r="B2" s="29"/>
      <c r="C2" s="30"/>
      <c r="D2" s="30"/>
      <c r="E2" s="30"/>
      <c r="F2" s="31" t="s">
        <v>9</v>
      </c>
      <c r="G2" s="64" t="s">
        <v>10</v>
      </c>
      <c r="H2" s="65" t="s">
        <v>11</v>
      </c>
    </row>
    <row r="3" s="18" customFormat="1" ht="26.25" customHeight="1" spans="1:1024 1025:16382">
      <c r="A3" s="34" t="s">
        <v>12</v>
      </c>
      <c r="B3" s="35">
        <f>SUBTOTAL(9,B4:B13)</f>
        <v>337</v>
      </c>
      <c r="C3" s="36">
        <f>SUBTOTAL(9,C4:C13)</f>
        <v>1492763.98972603</v>
      </c>
      <c r="D3" s="37">
        <f t="shared" ref="D3:F3" si="0">SUBTOTAL(9,D4:D13)</f>
        <v>386</v>
      </c>
      <c r="E3" s="37">
        <f t="shared" si="0"/>
        <v>483</v>
      </c>
      <c r="F3" s="37">
        <f t="shared" si="0"/>
        <v>92</v>
      </c>
      <c r="G3" s="38">
        <f>C3/D3</f>
        <v>3867.26422208815</v>
      </c>
      <c r="H3" s="39">
        <f>E3/D3</f>
        <v>1.25129533678756</v>
      </c>
      <c r="I3" s="20"/>
    </row>
    <row r="4" s="18" customFormat="1" ht="26.25" customHeight="1" spans="1:1024 1025:16382">
      <c r="A4" s="40" t="s">
        <v>13</v>
      </c>
      <c r="B4" s="41">
        <f>COUNTIFS('Data pivot'!$B:$B,"&gt;'pivot'!E650000")</f>
        <v>1</v>
      </c>
      <c r="C4" s="42">
        <f>SUMIFS('Data pivot'!$B:$B,'Data pivot'!$B:$B,"&gt;50000")</f>
        <v>338597.294520548</v>
      </c>
      <c r="D4" s="43">
        <f>COUNTIFS('Data pivot'!$G:$G,"&gt;50000")</f>
        <v>3</v>
      </c>
      <c r="E4" s="43">
        <f>SUMIFS('Data pivot'!$J:$J,'Data pivot'!$K:$K,"&gt;50000")</f>
        <v>3</v>
      </c>
      <c r="F4" s="43">
        <f>COUNTIFS('Data pivot'!$O:$O,"&gt;50000")</f>
        <v>1</v>
      </c>
      <c r="G4" s="44">
        <f>C4/D4</f>
        <v>112865.764840183</v>
      </c>
      <c r="H4" s="45">
        <f t="shared" ref="H4:H13" si="1">E4/D4</f>
        <v>1</v>
      </c>
    </row>
    <row r="5" s="18" customFormat="1" ht="26.25" customHeight="1" spans="1:1024 1025:16382">
      <c r="A5" s="46" t="s">
        <v>14</v>
      </c>
      <c r="B5" s="47"/>
      <c r="C5" s="48"/>
      <c r="D5" s="49"/>
      <c r="E5" s="49"/>
      <c r="F5" s="49"/>
      <c r="G5" s="48"/>
      <c r="H5" s="50" t="e">
        <f t="shared" si="1"/>
        <v>#DIV/0!</v>
      </c>
    </row>
    <row r="6" ht="26.25" customHeight="1" spans="1:1024 1025:16382">
      <c r="A6" s="51" t="s">
        <v>15</v>
      </c>
      <c r="B6" s="41">
        <f>COUNTIFS('Data pivot'!$B:$B,"&gt;25000",'Data pivot'!$B:$B,"&lt;50000")</f>
        <v>5</v>
      </c>
      <c r="C6" s="42">
        <f>SUMIFS('Data pivot'!$B:$B,'Data pivot'!$B:$B,"&lt;50000",'Data pivot'!$B:$B,"&gt;25000")</f>
        <v>139090.496575342</v>
      </c>
      <c r="D6" s="52">
        <f>COUNTIFS('Data pivot'!$G:$G,"&gt;25000",'Data pivot'!$G:$G,"&lt;50000")</f>
        <v>5</v>
      </c>
      <c r="E6" s="53">
        <f>SUMIFS('Data pivot'!$J:$J,'Data pivot'!$K:$K,"&gt;25000",'Data pivot'!$K:$K,"&lt;50000")</f>
        <v>3</v>
      </c>
      <c r="F6" s="52">
        <f>COUNTIFS('Data pivot'!$O:$O,"&gt;25000",'Data pivot'!$O:$O,"&lt;50000")</f>
        <v>2</v>
      </c>
      <c r="G6" s="44">
        <f t="shared" ref="G6" si="2">C6/D6</f>
        <v>27818.0993150685</v>
      </c>
      <c r="H6" s="54">
        <f t="shared" si="1"/>
        <v>0.6</v>
      </c>
    </row>
    <row r="7" s="19" customFormat="1" ht="26.25" customHeight="1" spans="1:1024 1025:16382">
      <c r="A7" s="55" t="s">
        <v>16</v>
      </c>
      <c r="B7" s="47"/>
      <c r="C7" s="48"/>
      <c r="D7" s="56"/>
      <c r="E7" s="56"/>
      <c r="F7" s="56"/>
      <c r="G7" s="48"/>
      <c r="H7" s="57" t="e">
        <f t="shared" si="1"/>
        <v>#DIV/0!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  <c r="IS7" s="20"/>
      <c r="IT7" s="20"/>
      <c r="IU7" s="20"/>
      <c r="IV7" s="20"/>
      <c r="IW7" s="20"/>
      <c r="IX7" s="20"/>
      <c r="IY7" s="20"/>
      <c r="IZ7" s="20"/>
      <c r="JA7" s="20"/>
      <c r="JB7" s="20"/>
      <c r="JC7" s="20"/>
      <c r="JD7" s="20"/>
      <c r="JE7" s="20"/>
      <c r="JF7" s="20"/>
      <c r="JG7" s="20"/>
      <c r="JH7" s="20"/>
      <c r="JI7" s="20"/>
      <c r="JJ7" s="20"/>
      <c r="JK7" s="20"/>
      <c r="JL7" s="20"/>
      <c r="JM7" s="20"/>
      <c r="JN7" s="20"/>
      <c r="JO7" s="20"/>
      <c r="JP7" s="20"/>
      <c r="JQ7" s="20"/>
      <c r="JR7" s="20"/>
      <c r="JS7" s="20"/>
      <c r="JT7" s="20"/>
      <c r="JU7" s="20"/>
      <c r="JV7" s="20"/>
      <c r="JW7" s="20"/>
      <c r="JX7" s="20"/>
      <c r="JY7" s="20"/>
      <c r="JZ7" s="20"/>
      <c r="KA7" s="20"/>
      <c r="KB7" s="20"/>
      <c r="KC7" s="20"/>
      <c r="KD7" s="20"/>
      <c r="KE7" s="20"/>
      <c r="KF7" s="20"/>
      <c r="KG7" s="20"/>
      <c r="KH7" s="20"/>
      <c r="KI7" s="20"/>
      <c r="KJ7" s="20"/>
      <c r="KK7" s="20"/>
      <c r="KL7" s="20"/>
      <c r="KM7" s="20"/>
      <c r="KN7" s="20"/>
      <c r="KO7" s="20"/>
      <c r="KP7" s="20"/>
      <c r="KQ7" s="20"/>
      <c r="KR7" s="20"/>
      <c r="KS7" s="20"/>
      <c r="KT7" s="20"/>
      <c r="KU7" s="20"/>
      <c r="KV7" s="20"/>
      <c r="KW7" s="20"/>
      <c r="KX7" s="20"/>
      <c r="KY7" s="20"/>
      <c r="KZ7" s="20"/>
      <c r="LA7" s="20"/>
      <c r="LB7" s="20"/>
      <c r="LC7" s="20"/>
      <c r="LD7" s="20"/>
      <c r="LE7" s="20"/>
      <c r="LF7" s="20"/>
      <c r="LG7" s="20"/>
      <c r="LH7" s="20"/>
      <c r="LI7" s="20"/>
      <c r="LJ7" s="20"/>
      <c r="LK7" s="20"/>
      <c r="LL7" s="20"/>
      <c r="LM7" s="20"/>
      <c r="LN7" s="20"/>
      <c r="LO7" s="20"/>
      <c r="LP7" s="20"/>
      <c r="LQ7" s="20"/>
      <c r="LR7" s="20"/>
      <c r="LS7" s="20"/>
      <c r="LT7" s="20"/>
      <c r="LU7" s="20"/>
      <c r="LV7" s="20"/>
      <c r="LW7" s="20"/>
      <c r="LX7" s="20"/>
      <c r="LY7" s="20"/>
      <c r="LZ7" s="20"/>
      <c r="MA7" s="20"/>
      <c r="MB7" s="20"/>
      <c r="MC7" s="20"/>
      <c r="MD7" s="20"/>
      <c r="ME7" s="20"/>
      <c r="MF7" s="20"/>
      <c r="MG7" s="20"/>
      <c r="MH7" s="20"/>
      <c r="MI7" s="20"/>
      <c r="MJ7" s="20"/>
      <c r="MK7" s="20"/>
      <c r="ML7" s="20"/>
      <c r="MM7" s="20"/>
      <c r="MN7" s="20"/>
      <c r="MO7" s="20"/>
      <c r="MP7" s="20"/>
      <c r="MQ7" s="20"/>
      <c r="MR7" s="20"/>
      <c r="MS7" s="20"/>
      <c r="MT7" s="20"/>
      <c r="MU7" s="20"/>
      <c r="MV7" s="20"/>
      <c r="MW7" s="20"/>
      <c r="MX7" s="20"/>
      <c r="MY7" s="20"/>
      <c r="MZ7" s="20"/>
      <c r="NA7" s="20"/>
      <c r="NB7" s="20"/>
      <c r="NC7" s="20"/>
      <c r="ND7" s="20"/>
      <c r="NE7" s="20"/>
      <c r="NF7" s="20"/>
      <c r="NG7" s="20"/>
      <c r="NH7" s="20"/>
      <c r="NI7" s="20"/>
      <c r="NJ7" s="20"/>
      <c r="NK7" s="20"/>
      <c r="NL7" s="20"/>
      <c r="NM7" s="20"/>
      <c r="NN7" s="20"/>
      <c r="NO7" s="20"/>
      <c r="NP7" s="20"/>
      <c r="NQ7" s="20"/>
      <c r="NR7" s="20"/>
      <c r="NS7" s="20"/>
      <c r="NT7" s="20"/>
      <c r="NU7" s="20"/>
      <c r="NV7" s="20"/>
      <c r="NW7" s="20"/>
      <c r="NX7" s="20"/>
      <c r="NY7" s="20"/>
      <c r="NZ7" s="20"/>
      <c r="OA7" s="20"/>
      <c r="OB7" s="20"/>
      <c r="OC7" s="20"/>
      <c r="OD7" s="20"/>
      <c r="OE7" s="20"/>
      <c r="OF7" s="20"/>
      <c r="OG7" s="20"/>
      <c r="OH7" s="20"/>
      <c r="OI7" s="20"/>
      <c r="OJ7" s="20"/>
      <c r="OK7" s="20"/>
      <c r="OL7" s="20"/>
      <c r="OM7" s="20"/>
      <c r="ON7" s="20"/>
      <c r="OO7" s="20"/>
      <c r="OP7" s="20"/>
      <c r="OQ7" s="20"/>
      <c r="OR7" s="20"/>
      <c r="OS7" s="20"/>
      <c r="OT7" s="20"/>
      <c r="OU7" s="20"/>
      <c r="OV7" s="20"/>
      <c r="OW7" s="20"/>
      <c r="OX7" s="20"/>
      <c r="OY7" s="20"/>
      <c r="OZ7" s="20"/>
      <c r="PA7" s="20"/>
      <c r="PB7" s="20"/>
      <c r="PC7" s="20"/>
      <c r="PD7" s="20"/>
      <c r="PE7" s="20"/>
      <c r="PF7" s="20"/>
      <c r="PG7" s="20"/>
      <c r="PH7" s="20"/>
      <c r="PI7" s="20"/>
      <c r="PJ7" s="20"/>
      <c r="PK7" s="20"/>
      <c r="PL7" s="20"/>
      <c r="PM7" s="20"/>
      <c r="PN7" s="20"/>
      <c r="PO7" s="20"/>
      <c r="PP7" s="20"/>
      <c r="PQ7" s="20"/>
      <c r="PR7" s="20"/>
      <c r="PS7" s="20"/>
      <c r="PT7" s="20"/>
      <c r="PU7" s="20"/>
      <c r="PV7" s="20"/>
      <c r="PW7" s="20"/>
      <c r="PX7" s="20"/>
      <c r="PY7" s="20"/>
      <c r="PZ7" s="20"/>
      <c r="QA7" s="20"/>
      <c r="QB7" s="20"/>
      <c r="QC7" s="20"/>
      <c r="QD7" s="20"/>
      <c r="QE7" s="20"/>
      <c r="QF7" s="20"/>
      <c r="QG7" s="20"/>
      <c r="QH7" s="20"/>
      <c r="QI7" s="20"/>
      <c r="QJ7" s="20"/>
      <c r="QK7" s="20"/>
      <c r="QL7" s="20"/>
      <c r="QM7" s="20"/>
      <c r="QN7" s="20"/>
      <c r="QO7" s="20"/>
      <c r="QP7" s="20"/>
      <c r="QQ7" s="20"/>
      <c r="QR7" s="20"/>
      <c r="QS7" s="20"/>
      <c r="QT7" s="20"/>
      <c r="QU7" s="20"/>
      <c r="QV7" s="20"/>
      <c r="QW7" s="20"/>
      <c r="QX7" s="20"/>
      <c r="QY7" s="20"/>
      <c r="QZ7" s="20"/>
      <c r="RA7" s="20"/>
      <c r="RB7" s="20"/>
      <c r="RC7" s="20"/>
      <c r="RD7" s="20"/>
      <c r="RE7" s="20"/>
      <c r="RF7" s="20"/>
      <c r="RG7" s="20"/>
      <c r="RH7" s="20"/>
      <c r="RI7" s="20"/>
      <c r="RJ7" s="20"/>
      <c r="RK7" s="20"/>
      <c r="RL7" s="20"/>
      <c r="RM7" s="20"/>
      <c r="RN7" s="20"/>
      <c r="RO7" s="20"/>
      <c r="RP7" s="20"/>
      <c r="RQ7" s="20"/>
      <c r="RR7" s="20"/>
      <c r="RS7" s="20"/>
      <c r="RT7" s="20"/>
      <c r="RU7" s="20"/>
      <c r="RV7" s="20"/>
      <c r="RW7" s="20"/>
      <c r="RX7" s="20"/>
      <c r="RY7" s="20"/>
      <c r="RZ7" s="20"/>
      <c r="SA7" s="20"/>
      <c r="SB7" s="20"/>
      <c r="SC7" s="20"/>
      <c r="SD7" s="20"/>
      <c r="SE7" s="20"/>
      <c r="SF7" s="20"/>
      <c r="SG7" s="20"/>
      <c r="SH7" s="20"/>
      <c r="SI7" s="20"/>
      <c r="SJ7" s="20"/>
      <c r="SK7" s="20"/>
      <c r="SL7" s="20"/>
      <c r="SM7" s="20"/>
      <c r="SN7" s="20"/>
      <c r="SO7" s="20"/>
      <c r="SP7" s="20"/>
      <c r="SQ7" s="20"/>
      <c r="SR7" s="20"/>
      <c r="SS7" s="20"/>
      <c r="ST7" s="20"/>
      <c r="SU7" s="20"/>
      <c r="SV7" s="20"/>
      <c r="SW7" s="20"/>
      <c r="SX7" s="20"/>
      <c r="SY7" s="20"/>
      <c r="SZ7" s="20"/>
      <c r="TA7" s="20"/>
      <c r="TB7" s="20"/>
      <c r="TC7" s="20"/>
      <c r="TD7" s="20"/>
      <c r="TE7" s="20"/>
      <c r="TF7" s="20"/>
      <c r="TG7" s="20"/>
      <c r="TH7" s="20"/>
      <c r="TI7" s="20"/>
      <c r="TJ7" s="20"/>
      <c r="TK7" s="20"/>
      <c r="TL7" s="20"/>
      <c r="TM7" s="20"/>
      <c r="TN7" s="20"/>
      <c r="TO7" s="20"/>
      <c r="TP7" s="20"/>
      <c r="TQ7" s="20"/>
      <c r="TR7" s="20"/>
      <c r="TS7" s="20"/>
      <c r="TT7" s="20"/>
      <c r="TU7" s="20"/>
      <c r="TV7" s="20"/>
      <c r="TW7" s="20"/>
      <c r="TX7" s="20"/>
      <c r="TY7" s="20"/>
      <c r="TZ7" s="20"/>
      <c r="UA7" s="20"/>
      <c r="UB7" s="20"/>
      <c r="UC7" s="20"/>
      <c r="UD7" s="20"/>
      <c r="UE7" s="20"/>
      <c r="UF7" s="20"/>
      <c r="UG7" s="20"/>
      <c r="UH7" s="20"/>
      <c r="UI7" s="20"/>
      <c r="UJ7" s="20"/>
      <c r="UK7" s="20"/>
      <c r="UL7" s="20"/>
      <c r="UM7" s="20"/>
      <c r="UN7" s="20"/>
      <c r="UO7" s="20"/>
      <c r="UP7" s="20"/>
      <c r="UQ7" s="20"/>
      <c r="UR7" s="20"/>
      <c r="US7" s="20"/>
      <c r="UT7" s="20"/>
      <c r="UU7" s="20"/>
      <c r="UV7" s="20"/>
      <c r="UW7" s="20"/>
      <c r="UX7" s="20"/>
      <c r="UY7" s="20"/>
      <c r="UZ7" s="20"/>
      <c r="VA7" s="20"/>
      <c r="VB7" s="20"/>
      <c r="VC7" s="20"/>
      <c r="VD7" s="20"/>
      <c r="VE7" s="20"/>
      <c r="VF7" s="20"/>
      <c r="VG7" s="20"/>
      <c r="VH7" s="20"/>
      <c r="VI7" s="20"/>
      <c r="VJ7" s="20"/>
      <c r="VK7" s="20"/>
      <c r="VL7" s="20"/>
      <c r="VM7" s="20"/>
      <c r="VN7" s="20"/>
      <c r="VO7" s="20"/>
      <c r="VP7" s="20"/>
      <c r="VQ7" s="20"/>
      <c r="VR7" s="20"/>
      <c r="VS7" s="20"/>
      <c r="VT7" s="20"/>
      <c r="VU7" s="20"/>
      <c r="VV7" s="20"/>
      <c r="VW7" s="20"/>
      <c r="VX7" s="20"/>
      <c r="VY7" s="20"/>
      <c r="VZ7" s="20"/>
      <c r="WA7" s="20"/>
      <c r="WB7" s="20"/>
      <c r="WC7" s="20"/>
      <c r="WD7" s="20"/>
      <c r="WE7" s="20"/>
      <c r="WF7" s="20"/>
      <c r="WG7" s="20"/>
      <c r="WH7" s="20"/>
      <c r="WI7" s="20"/>
      <c r="WJ7" s="20"/>
      <c r="WK7" s="20"/>
      <c r="WL7" s="20"/>
      <c r="WM7" s="20"/>
      <c r="WN7" s="20"/>
      <c r="WO7" s="20"/>
      <c r="WP7" s="20"/>
      <c r="WQ7" s="20"/>
      <c r="WR7" s="20"/>
      <c r="WS7" s="20"/>
      <c r="WT7" s="20"/>
      <c r="WU7" s="20"/>
      <c r="WV7" s="20"/>
      <c r="WW7" s="20"/>
      <c r="WX7" s="20"/>
      <c r="WY7" s="20"/>
      <c r="WZ7" s="20"/>
      <c r="XA7" s="20"/>
      <c r="XB7" s="20"/>
      <c r="XC7" s="20"/>
      <c r="XD7" s="20"/>
      <c r="XE7" s="20"/>
      <c r="XF7" s="20"/>
      <c r="XG7" s="20"/>
      <c r="XH7" s="20"/>
      <c r="XI7" s="20"/>
      <c r="XJ7" s="20"/>
      <c r="XK7" s="20"/>
      <c r="XL7" s="20"/>
      <c r="XM7" s="20"/>
      <c r="XN7" s="20"/>
      <c r="XO7" s="20"/>
      <c r="XP7" s="20"/>
      <c r="XQ7" s="20"/>
      <c r="XR7" s="20"/>
      <c r="XS7" s="20"/>
      <c r="XT7" s="20"/>
      <c r="XU7" s="20"/>
      <c r="XV7" s="20"/>
      <c r="XW7" s="20"/>
      <c r="XX7" s="20"/>
      <c r="XY7" s="20"/>
      <c r="XZ7" s="20"/>
      <c r="YA7" s="20"/>
      <c r="YB7" s="20"/>
      <c r="YC7" s="20"/>
      <c r="YD7" s="20"/>
      <c r="YE7" s="20"/>
      <c r="YF7" s="20"/>
      <c r="YG7" s="20"/>
      <c r="YH7" s="20"/>
      <c r="YI7" s="20"/>
      <c r="YJ7" s="20"/>
      <c r="YK7" s="20"/>
      <c r="YL7" s="20"/>
      <c r="YM7" s="20"/>
      <c r="YN7" s="20"/>
      <c r="YO7" s="20"/>
      <c r="YP7" s="20"/>
      <c r="YQ7" s="20"/>
      <c r="YR7" s="20"/>
      <c r="YS7" s="20"/>
      <c r="YT7" s="20"/>
      <c r="YU7" s="20"/>
      <c r="YV7" s="20"/>
      <c r="YW7" s="20"/>
      <c r="YX7" s="20"/>
      <c r="YY7" s="20"/>
      <c r="YZ7" s="20"/>
      <c r="ZA7" s="20"/>
      <c r="ZB7" s="20"/>
      <c r="ZC7" s="20"/>
      <c r="ZD7" s="20"/>
      <c r="ZE7" s="20"/>
      <c r="ZF7" s="20"/>
      <c r="ZG7" s="20"/>
      <c r="ZH7" s="20"/>
      <c r="ZI7" s="20"/>
      <c r="ZJ7" s="20"/>
      <c r="ZK7" s="20"/>
      <c r="ZL7" s="20"/>
      <c r="ZM7" s="20"/>
      <c r="ZN7" s="20"/>
      <c r="ZO7" s="20"/>
      <c r="ZP7" s="20"/>
      <c r="ZQ7" s="20"/>
      <c r="ZR7" s="20"/>
      <c r="ZS7" s="20"/>
      <c r="ZT7" s="20"/>
      <c r="ZU7" s="20"/>
      <c r="ZV7" s="20"/>
      <c r="ZW7" s="20"/>
      <c r="ZX7" s="20"/>
      <c r="ZY7" s="20"/>
      <c r="ZZ7" s="20"/>
      <c r="AAA7" s="20"/>
      <c r="AAB7" s="20"/>
      <c r="AAC7" s="20"/>
      <c r="AAD7" s="20"/>
      <c r="AAE7" s="20"/>
      <c r="AAF7" s="20"/>
      <c r="AAG7" s="20"/>
      <c r="AAH7" s="20"/>
      <c r="AAI7" s="20"/>
      <c r="AAJ7" s="20"/>
      <c r="AAK7" s="20"/>
      <c r="AAL7" s="20"/>
      <c r="AAM7" s="20"/>
      <c r="AAN7" s="20"/>
      <c r="AAO7" s="20"/>
      <c r="AAP7" s="20"/>
      <c r="AAQ7" s="20"/>
      <c r="AAR7" s="20"/>
      <c r="AAS7" s="20"/>
      <c r="AAT7" s="20"/>
      <c r="AAU7" s="20"/>
      <c r="AAV7" s="20"/>
      <c r="AAW7" s="20"/>
      <c r="AAX7" s="20"/>
      <c r="AAY7" s="20"/>
      <c r="AAZ7" s="20"/>
      <c r="ABA7" s="20"/>
      <c r="ABB7" s="20"/>
      <c r="ABC7" s="20"/>
      <c r="ABD7" s="20"/>
      <c r="ABE7" s="20"/>
      <c r="ABF7" s="20"/>
      <c r="ABG7" s="20"/>
      <c r="ABH7" s="20"/>
      <c r="ABI7" s="20"/>
      <c r="ABJ7" s="20"/>
      <c r="ABK7" s="20"/>
      <c r="ABL7" s="20"/>
      <c r="ABM7" s="20"/>
      <c r="ABN7" s="20"/>
      <c r="ABO7" s="20"/>
      <c r="ABP7" s="20"/>
      <c r="ABQ7" s="20"/>
      <c r="ABR7" s="20"/>
      <c r="ABS7" s="20"/>
      <c r="ABT7" s="20"/>
      <c r="ABU7" s="20"/>
      <c r="ABV7" s="20"/>
      <c r="ABW7" s="20"/>
      <c r="ABX7" s="20"/>
      <c r="ABY7" s="20"/>
      <c r="ABZ7" s="20"/>
      <c r="ACA7" s="20"/>
      <c r="ACB7" s="20"/>
      <c r="ACC7" s="20"/>
      <c r="ACD7" s="20"/>
      <c r="ACE7" s="20"/>
      <c r="ACF7" s="20"/>
      <c r="ACG7" s="20"/>
      <c r="ACH7" s="20"/>
      <c r="ACI7" s="20"/>
      <c r="ACJ7" s="20"/>
      <c r="ACK7" s="20"/>
      <c r="ACL7" s="20"/>
      <c r="ACM7" s="20"/>
      <c r="ACN7" s="20"/>
      <c r="ACO7" s="20"/>
      <c r="ACP7" s="20"/>
      <c r="ACQ7" s="20"/>
      <c r="ACR7" s="20"/>
      <c r="ACS7" s="20"/>
      <c r="ACT7" s="20"/>
      <c r="ACU7" s="20"/>
      <c r="ACV7" s="20"/>
      <c r="ACW7" s="20"/>
      <c r="ACX7" s="20"/>
      <c r="ACY7" s="20"/>
      <c r="ACZ7" s="20"/>
      <c r="ADA7" s="20"/>
      <c r="ADB7" s="20"/>
      <c r="ADC7" s="20"/>
      <c r="ADD7" s="20"/>
      <c r="ADE7" s="20"/>
      <c r="ADF7" s="20"/>
      <c r="ADG7" s="20"/>
      <c r="ADH7" s="20"/>
      <c r="ADI7" s="20"/>
      <c r="ADJ7" s="20"/>
      <c r="ADK7" s="20"/>
      <c r="ADL7" s="20"/>
      <c r="ADM7" s="20"/>
      <c r="ADN7" s="20"/>
      <c r="ADO7" s="20"/>
      <c r="ADP7" s="20"/>
      <c r="ADQ7" s="20"/>
      <c r="ADR7" s="20"/>
      <c r="ADS7" s="20"/>
      <c r="ADT7" s="20"/>
      <c r="ADU7" s="20"/>
      <c r="ADV7" s="20"/>
      <c r="ADW7" s="20"/>
      <c r="ADX7" s="20"/>
      <c r="ADY7" s="20"/>
      <c r="ADZ7" s="20"/>
      <c r="AEA7" s="20"/>
      <c r="AEB7" s="20"/>
      <c r="AEC7" s="20"/>
      <c r="AED7" s="20"/>
      <c r="AEE7" s="20"/>
      <c r="AEF7" s="20"/>
      <c r="AEG7" s="20"/>
      <c r="AEH7" s="20"/>
      <c r="AEI7" s="20"/>
      <c r="AEJ7" s="20"/>
      <c r="AEK7" s="20"/>
      <c r="AEL7" s="20"/>
      <c r="AEM7" s="20"/>
      <c r="AEN7" s="20"/>
      <c r="AEO7" s="20"/>
      <c r="AEP7" s="20"/>
      <c r="AEQ7" s="20"/>
      <c r="AER7" s="20"/>
      <c r="AES7" s="20"/>
      <c r="AET7" s="20"/>
      <c r="AEU7" s="20"/>
      <c r="AEV7" s="20"/>
      <c r="AEW7" s="20"/>
      <c r="AEX7" s="20"/>
      <c r="AEY7" s="20"/>
      <c r="AEZ7" s="20"/>
      <c r="AFA7" s="20"/>
      <c r="AFB7" s="20"/>
      <c r="AFC7" s="20"/>
      <c r="AFD7" s="20"/>
      <c r="AFE7" s="20"/>
      <c r="AFF7" s="20"/>
      <c r="AFG7" s="20"/>
      <c r="AFH7" s="20"/>
      <c r="AFI7" s="20"/>
      <c r="AFJ7" s="20"/>
      <c r="AFK7" s="20"/>
      <c r="AFL7" s="20"/>
      <c r="AFM7" s="20"/>
      <c r="AFN7" s="20"/>
      <c r="AFO7" s="20"/>
      <c r="AFP7" s="20"/>
      <c r="AFQ7" s="20"/>
      <c r="AFR7" s="20"/>
      <c r="AFS7" s="20"/>
      <c r="AFT7" s="20"/>
      <c r="AFU7" s="20"/>
      <c r="AFV7" s="20"/>
      <c r="AFW7" s="20"/>
      <c r="AFX7" s="20"/>
      <c r="AFY7" s="20"/>
      <c r="AFZ7" s="20"/>
      <c r="AGA7" s="20"/>
      <c r="AGB7" s="20"/>
      <c r="AGC7" s="20"/>
      <c r="AGD7" s="20"/>
      <c r="AGE7" s="20"/>
      <c r="AGF7" s="20"/>
      <c r="AGG7" s="20"/>
      <c r="AGH7" s="20"/>
      <c r="AGI7" s="20"/>
      <c r="AGJ7" s="20"/>
      <c r="AGK7" s="20"/>
      <c r="AGL7" s="20"/>
      <c r="AGM7" s="20"/>
      <c r="AGN7" s="20"/>
      <c r="AGO7" s="20"/>
      <c r="AGP7" s="20"/>
      <c r="AGQ7" s="20"/>
      <c r="AGR7" s="20"/>
      <c r="AGS7" s="20"/>
      <c r="AGT7" s="20"/>
      <c r="AGU7" s="20"/>
      <c r="AGV7" s="20"/>
      <c r="AGW7" s="20"/>
      <c r="AGX7" s="20"/>
      <c r="AGY7" s="20"/>
      <c r="AGZ7" s="20"/>
      <c r="AHA7" s="20"/>
      <c r="AHB7" s="20"/>
      <c r="AHC7" s="20"/>
      <c r="AHD7" s="20"/>
      <c r="AHE7" s="20"/>
      <c r="AHF7" s="20"/>
      <c r="AHG7" s="20"/>
      <c r="AHH7" s="20"/>
      <c r="AHI7" s="20"/>
      <c r="AHJ7" s="20"/>
      <c r="AHK7" s="20"/>
      <c r="AHL7" s="20"/>
      <c r="AHM7" s="20"/>
      <c r="AHN7" s="20"/>
      <c r="AHO7" s="20"/>
      <c r="AHP7" s="20"/>
      <c r="AHQ7" s="20"/>
      <c r="AHR7" s="20"/>
      <c r="AHS7" s="20"/>
      <c r="AHT7" s="20"/>
      <c r="AHU7" s="20"/>
      <c r="AHV7" s="20"/>
      <c r="AHW7" s="20"/>
      <c r="AHX7" s="20"/>
      <c r="AHY7" s="20"/>
      <c r="AHZ7" s="20"/>
      <c r="AIA7" s="20"/>
      <c r="AIB7" s="20"/>
      <c r="AIC7" s="20"/>
      <c r="AID7" s="20"/>
      <c r="AIE7" s="20"/>
      <c r="AIF7" s="20"/>
      <c r="AIG7" s="20"/>
      <c r="AIH7" s="20"/>
      <c r="AII7" s="20"/>
      <c r="AIJ7" s="20"/>
      <c r="AIK7" s="20"/>
      <c r="AIL7" s="20"/>
      <c r="AIM7" s="20"/>
      <c r="AIN7" s="20"/>
      <c r="AIO7" s="20"/>
      <c r="AIP7" s="20"/>
      <c r="AIQ7" s="20"/>
      <c r="AIR7" s="20"/>
      <c r="AIS7" s="20"/>
      <c r="AIT7" s="20"/>
      <c r="AIU7" s="20"/>
      <c r="AIV7" s="20"/>
      <c r="AIW7" s="20"/>
      <c r="AIX7" s="20"/>
      <c r="AIY7" s="20"/>
      <c r="AIZ7" s="20"/>
      <c r="AJA7" s="20"/>
      <c r="AJB7" s="20"/>
      <c r="AJC7" s="20"/>
      <c r="AJD7" s="20"/>
      <c r="AJE7" s="20"/>
      <c r="AJF7" s="20"/>
      <c r="AJG7" s="20"/>
      <c r="AJH7" s="20"/>
      <c r="AJI7" s="20"/>
      <c r="AJJ7" s="20"/>
      <c r="AJK7" s="20"/>
      <c r="AJL7" s="20"/>
      <c r="AJM7" s="20"/>
      <c r="AJN7" s="20"/>
      <c r="AJO7" s="20"/>
      <c r="AJP7" s="20"/>
      <c r="AJQ7" s="20"/>
      <c r="AJR7" s="20"/>
      <c r="AJS7" s="20"/>
      <c r="AJT7" s="20"/>
      <c r="AJU7" s="20"/>
      <c r="AJV7" s="20"/>
      <c r="AJW7" s="20"/>
      <c r="AJX7" s="20"/>
      <c r="AJY7" s="20"/>
      <c r="AJZ7" s="20"/>
      <c r="AKA7" s="20"/>
      <c r="AKB7" s="20"/>
      <c r="AKC7" s="20"/>
      <c r="AKD7" s="20"/>
      <c r="AKE7" s="20"/>
      <c r="AKF7" s="20"/>
      <c r="AKG7" s="20"/>
      <c r="AKH7" s="20"/>
      <c r="AKI7" s="20"/>
      <c r="AKJ7" s="20"/>
      <c r="AKK7" s="20"/>
      <c r="AKL7" s="20"/>
      <c r="AKM7" s="20"/>
      <c r="AKN7" s="20"/>
      <c r="AKO7" s="20"/>
      <c r="AKP7" s="20"/>
      <c r="AKQ7" s="20"/>
      <c r="AKR7" s="20"/>
      <c r="AKS7" s="20"/>
      <c r="AKT7" s="20"/>
      <c r="AKU7" s="20"/>
      <c r="AKV7" s="20"/>
      <c r="AKW7" s="20"/>
      <c r="AKX7" s="20"/>
      <c r="AKY7" s="20"/>
      <c r="AKZ7" s="20"/>
      <c r="ALA7" s="20"/>
      <c r="ALB7" s="20"/>
      <c r="ALC7" s="20"/>
      <c r="ALD7" s="20"/>
      <c r="ALE7" s="20"/>
      <c r="ALF7" s="20"/>
      <c r="ALG7" s="20"/>
      <c r="ALH7" s="20"/>
      <c r="ALI7" s="20"/>
      <c r="ALJ7" s="20"/>
      <c r="ALK7" s="20"/>
      <c r="ALL7" s="20"/>
      <c r="ALM7" s="20"/>
      <c r="ALN7" s="20"/>
      <c r="ALO7" s="20"/>
      <c r="ALP7" s="20"/>
      <c r="ALQ7" s="20"/>
      <c r="ALR7" s="20"/>
      <c r="ALS7" s="20"/>
      <c r="ALT7" s="20"/>
      <c r="ALU7" s="20"/>
      <c r="ALV7" s="20"/>
      <c r="ALW7" s="20"/>
      <c r="ALX7" s="20"/>
      <c r="ALY7" s="20"/>
      <c r="ALZ7" s="20"/>
      <c r="AMA7" s="20"/>
      <c r="AMB7" s="20"/>
      <c r="AMC7" s="20"/>
      <c r="AMD7" s="20"/>
      <c r="AME7" s="20"/>
      <c r="AMF7" s="20"/>
      <c r="AMG7" s="20"/>
      <c r="AMH7" s="20"/>
      <c r="AMI7" s="20"/>
      <c r="AMJ7" s="20"/>
      <c r="AMK7" s="20"/>
      <c r="AML7" s="20"/>
      <c r="AMM7" s="20"/>
      <c r="AMN7" s="20"/>
      <c r="AMO7" s="20"/>
      <c r="AMP7" s="20"/>
      <c r="AMQ7" s="20"/>
      <c r="AMR7" s="20"/>
      <c r="AMS7" s="20"/>
      <c r="AMT7" s="20"/>
      <c r="AMU7" s="20"/>
      <c r="AMV7" s="20"/>
      <c r="AMW7" s="20"/>
      <c r="AMX7" s="20"/>
      <c r="AMY7" s="20"/>
      <c r="AMZ7" s="20"/>
      <c r="ANA7" s="20"/>
      <c r="ANB7" s="20"/>
      <c r="ANC7" s="20"/>
      <c r="AND7" s="20"/>
      <c r="ANE7" s="20"/>
      <c r="ANF7" s="20"/>
      <c r="ANG7" s="20"/>
      <c r="ANH7" s="20"/>
      <c r="ANI7" s="20"/>
      <c r="ANJ7" s="20"/>
      <c r="ANK7" s="20"/>
      <c r="ANL7" s="20"/>
      <c r="ANM7" s="20"/>
      <c r="ANN7" s="20"/>
      <c r="ANO7" s="20"/>
      <c r="ANP7" s="20"/>
      <c r="ANQ7" s="20"/>
      <c r="ANR7" s="20"/>
      <c r="ANS7" s="20"/>
      <c r="ANT7" s="20"/>
      <c r="ANU7" s="20"/>
      <c r="ANV7" s="20"/>
      <c r="ANW7" s="20"/>
      <c r="ANX7" s="20"/>
      <c r="ANY7" s="20"/>
      <c r="ANZ7" s="20"/>
      <c r="AOA7" s="20"/>
      <c r="AOB7" s="20"/>
      <c r="AOC7" s="20"/>
      <c r="AOD7" s="20"/>
      <c r="AOE7" s="20"/>
      <c r="AOF7" s="20"/>
      <c r="AOG7" s="20"/>
      <c r="AOH7" s="20"/>
      <c r="AOI7" s="20"/>
      <c r="AOJ7" s="20"/>
      <c r="AOK7" s="20"/>
      <c r="AOL7" s="20"/>
      <c r="AOM7" s="20"/>
      <c r="AON7" s="20"/>
      <c r="AOO7" s="20"/>
      <c r="AOP7" s="20"/>
      <c r="AOQ7" s="20"/>
      <c r="AOR7" s="20"/>
      <c r="AOS7" s="20"/>
      <c r="AOT7" s="20"/>
      <c r="AOU7" s="20"/>
      <c r="AOV7" s="20"/>
      <c r="AOW7" s="20"/>
      <c r="AOX7" s="20"/>
      <c r="AOY7" s="20"/>
      <c r="AOZ7" s="20"/>
      <c r="APA7" s="20"/>
      <c r="APB7" s="20"/>
      <c r="APC7" s="20"/>
      <c r="APD7" s="20"/>
      <c r="APE7" s="20"/>
      <c r="APF7" s="20"/>
      <c r="APG7" s="20"/>
      <c r="APH7" s="20"/>
      <c r="API7" s="20"/>
      <c r="APJ7" s="20"/>
      <c r="APK7" s="20"/>
      <c r="APL7" s="20"/>
      <c r="APM7" s="20"/>
      <c r="APN7" s="20"/>
      <c r="APO7" s="20"/>
      <c r="APP7" s="20"/>
      <c r="APQ7" s="20"/>
      <c r="APR7" s="20"/>
      <c r="APS7" s="20"/>
      <c r="APT7" s="20"/>
      <c r="APU7" s="20"/>
      <c r="APV7" s="20"/>
      <c r="APW7" s="20"/>
      <c r="APX7" s="20"/>
      <c r="APY7" s="20"/>
      <c r="APZ7" s="20"/>
      <c r="AQA7" s="20"/>
      <c r="AQB7" s="20"/>
      <c r="AQC7" s="20"/>
      <c r="AQD7" s="20"/>
      <c r="AQE7" s="20"/>
      <c r="AQF7" s="20"/>
      <c r="AQG7" s="20"/>
      <c r="AQH7" s="20"/>
      <c r="AQI7" s="20"/>
      <c r="AQJ7" s="20"/>
      <c r="AQK7" s="20"/>
      <c r="AQL7" s="20"/>
      <c r="AQM7" s="20"/>
      <c r="AQN7" s="20"/>
      <c r="AQO7" s="20"/>
      <c r="AQP7" s="20"/>
      <c r="AQQ7" s="20"/>
      <c r="AQR7" s="20"/>
      <c r="AQS7" s="20"/>
      <c r="AQT7" s="20"/>
      <c r="AQU7" s="20"/>
      <c r="AQV7" s="20"/>
      <c r="AQW7" s="20"/>
      <c r="AQX7" s="20"/>
      <c r="AQY7" s="20"/>
      <c r="AQZ7" s="20"/>
      <c r="ARA7" s="20"/>
      <c r="ARB7" s="20"/>
      <c r="ARC7" s="20"/>
      <c r="ARD7" s="20"/>
      <c r="ARE7" s="20"/>
      <c r="ARF7" s="20"/>
      <c r="ARG7" s="20"/>
      <c r="ARH7" s="20"/>
      <c r="ARI7" s="20"/>
      <c r="ARJ7" s="20"/>
      <c r="ARK7" s="20"/>
      <c r="ARL7" s="20"/>
      <c r="ARM7" s="20"/>
      <c r="ARN7" s="20"/>
      <c r="ARO7" s="20"/>
      <c r="ARP7" s="20"/>
      <c r="ARQ7" s="20"/>
      <c r="ARR7" s="20"/>
      <c r="ARS7" s="20"/>
      <c r="ART7" s="20"/>
      <c r="ARU7" s="20"/>
      <c r="ARV7" s="20"/>
      <c r="ARW7" s="20"/>
      <c r="ARX7" s="20"/>
      <c r="ARY7" s="20"/>
      <c r="ARZ7" s="20"/>
      <c r="ASA7" s="20"/>
      <c r="ASB7" s="20"/>
      <c r="ASC7" s="20"/>
      <c r="ASD7" s="20"/>
      <c r="ASE7" s="20"/>
      <c r="ASF7" s="20"/>
      <c r="ASG7" s="20"/>
      <c r="ASH7" s="20"/>
      <c r="ASI7" s="20"/>
      <c r="ASJ7" s="20"/>
      <c r="ASK7" s="20"/>
      <c r="ASL7" s="20"/>
      <c r="ASM7" s="20"/>
      <c r="ASN7" s="20"/>
      <c r="ASO7" s="20"/>
      <c r="ASP7" s="20"/>
      <c r="ASQ7" s="20"/>
      <c r="ASR7" s="20"/>
      <c r="ASS7" s="20"/>
      <c r="AST7" s="20"/>
      <c r="ASU7" s="20"/>
      <c r="ASV7" s="20"/>
      <c r="ASW7" s="20"/>
      <c r="ASX7" s="20"/>
      <c r="ASY7" s="20"/>
      <c r="ASZ7" s="20"/>
      <c r="ATA7" s="20"/>
      <c r="ATB7" s="20"/>
      <c r="ATC7" s="20"/>
      <c r="ATD7" s="20"/>
      <c r="ATE7" s="20"/>
      <c r="ATF7" s="20"/>
      <c r="ATG7" s="20"/>
      <c r="ATH7" s="20"/>
      <c r="ATI7" s="20"/>
      <c r="ATJ7" s="20"/>
      <c r="ATK7" s="20"/>
      <c r="ATL7" s="20"/>
      <c r="ATM7" s="20"/>
      <c r="ATN7" s="20"/>
      <c r="ATO7" s="20"/>
      <c r="ATP7" s="20"/>
      <c r="ATQ7" s="20"/>
      <c r="ATR7" s="20"/>
      <c r="ATS7" s="20"/>
      <c r="ATT7" s="20"/>
      <c r="ATU7" s="20"/>
      <c r="ATV7" s="20"/>
      <c r="ATW7" s="20"/>
      <c r="ATX7" s="20"/>
      <c r="ATY7" s="20"/>
      <c r="ATZ7" s="20"/>
      <c r="AUA7" s="20"/>
      <c r="AUB7" s="20"/>
      <c r="AUC7" s="20"/>
      <c r="AUD7" s="20"/>
      <c r="AUE7" s="20"/>
      <c r="AUF7" s="20"/>
      <c r="AUG7" s="20"/>
      <c r="AUH7" s="20"/>
      <c r="AUI7" s="20"/>
      <c r="AUJ7" s="20"/>
      <c r="AUK7" s="20"/>
      <c r="AUL7" s="20"/>
      <c r="AUM7" s="20"/>
      <c r="AUN7" s="20"/>
      <c r="AUO7" s="20"/>
      <c r="AUP7" s="20"/>
      <c r="AUQ7" s="20"/>
      <c r="AUR7" s="20"/>
      <c r="AUS7" s="20"/>
      <c r="AUT7" s="20"/>
      <c r="AUU7" s="20"/>
      <c r="AUV7" s="20"/>
      <c r="AUW7" s="20"/>
      <c r="AUX7" s="20"/>
      <c r="AUY7" s="20"/>
      <c r="AUZ7" s="20"/>
      <c r="AVA7" s="20"/>
      <c r="AVB7" s="20"/>
      <c r="AVC7" s="20"/>
      <c r="AVD7" s="20"/>
      <c r="AVE7" s="20"/>
      <c r="AVF7" s="20"/>
      <c r="AVG7" s="20"/>
      <c r="AVH7" s="20"/>
      <c r="AVI7" s="20"/>
      <c r="AVJ7" s="20"/>
      <c r="AVK7" s="20"/>
      <c r="AVL7" s="20"/>
      <c r="AVM7" s="20"/>
      <c r="AVN7" s="20"/>
      <c r="AVO7" s="20"/>
      <c r="AVP7" s="20"/>
      <c r="AVQ7" s="20"/>
      <c r="AVR7" s="20"/>
      <c r="AVS7" s="20"/>
      <c r="AVT7" s="20"/>
      <c r="AVU7" s="20"/>
      <c r="AVV7" s="20"/>
      <c r="AVW7" s="20"/>
      <c r="AVX7" s="20"/>
      <c r="AVY7" s="20"/>
      <c r="AVZ7" s="20"/>
      <c r="AWA7" s="20"/>
      <c r="AWB7" s="20"/>
      <c r="AWC7" s="20"/>
      <c r="AWD7" s="20"/>
      <c r="AWE7" s="20"/>
      <c r="AWF7" s="20"/>
      <c r="AWG7" s="20"/>
      <c r="AWH7" s="20"/>
      <c r="AWI7" s="20"/>
      <c r="AWJ7" s="20"/>
      <c r="AWK7" s="20"/>
      <c r="AWL7" s="20"/>
      <c r="AWM7" s="20"/>
      <c r="AWN7" s="20"/>
      <c r="AWO7" s="20"/>
      <c r="AWP7" s="20"/>
      <c r="AWQ7" s="20"/>
      <c r="AWR7" s="20"/>
      <c r="AWS7" s="20"/>
      <c r="AWT7" s="20"/>
      <c r="AWU7" s="20"/>
      <c r="AWV7" s="20"/>
      <c r="AWW7" s="20"/>
      <c r="AWX7" s="20"/>
      <c r="AWY7" s="20"/>
      <c r="AWZ7" s="20"/>
      <c r="AXA7" s="20"/>
      <c r="AXB7" s="20"/>
      <c r="AXC7" s="20"/>
      <c r="AXD7" s="20"/>
      <c r="AXE7" s="20"/>
      <c r="AXF7" s="20"/>
      <c r="AXG7" s="20"/>
      <c r="AXH7" s="20"/>
      <c r="AXI7" s="20"/>
      <c r="AXJ7" s="20"/>
      <c r="AXK7" s="20"/>
      <c r="AXL7" s="20"/>
      <c r="AXM7" s="20"/>
      <c r="AXN7" s="20"/>
      <c r="AXO7" s="20"/>
      <c r="AXP7" s="20"/>
      <c r="AXQ7" s="20"/>
      <c r="AXR7" s="20"/>
      <c r="AXS7" s="20"/>
      <c r="AXT7" s="20"/>
      <c r="AXU7" s="20"/>
      <c r="AXV7" s="20"/>
      <c r="AXW7" s="20"/>
      <c r="AXX7" s="20"/>
      <c r="AXY7" s="20"/>
      <c r="AXZ7" s="20"/>
      <c r="AYA7" s="20"/>
      <c r="AYB7" s="20"/>
      <c r="AYC7" s="20"/>
      <c r="AYD7" s="20"/>
      <c r="AYE7" s="20"/>
      <c r="AYF7" s="20"/>
      <c r="AYG7" s="20"/>
      <c r="AYH7" s="20"/>
      <c r="AYI7" s="20"/>
      <c r="AYJ7" s="20"/>
      <c r="AYK7" s="20"/>
      <c r="AYL7" s="20"/>
      <c r="AYM7" s="20"/>
      <c r="AYN7" s="20"/>
      <c r="AYO7" s="20"/>
      <c r="AYP7" s="20"/>
      <c r="AYQ7" s="20"/>
      <c r="AYR7" s="20"/>
      <c r="AYS7" s="20"/>
      <c r="AYT7" s="20"/>
      <c r="AYU7" s="20"/>
      <c r="AYV7" s="20"/>
      <c r="AYW7" s="20"/>
      <c r="AYX7" s="20"/>
      <c r="AYY7" s="20"/>
      <c r="AYZ7" s="20"/>
      <c r="AZA7" s="20"/>
      <c r="AZB7" s="20"/>
      <c r="AZC7" s="20"/>
      <c r="AZD7" s="20"/>
      <c r="AZE7" s="20"/>
      <c r="AZF7" s="20"/>
      <c r="AZG7" s="20"/>
      <c r="AZH7" s="20"/>
      <c r="AZI7" s="20"/>
      <c r="AZJ7" s="20"/>
      <c r="AZK7" s="20"/>
      <c r="AZL7" s="20"/>
      <c r="AZM7" s="20"/>
      <c r="AZN7" s="20"/>
      <c r="AZO7" s="20"/>
      <c r="AZP7" s="20"/>
      <c r="AZQ7" s="20"/>
      <c r="AZR7" s="20"/>
      <c r="AZS7" s="20"/>
      <c r="AZT7" s="20"/>
      <c r="AZU7" s="20"/>
      <c r="AZV7" s="20"/>
      <c r="AZW7" s="20"/>
      <c r="AZX7" s="20"/>
      <c r="AZY7" s="20"/>
      <c r="AZZ7" s="20"/>
      <c r="BAA7" s="20"/>
      <c r="BAB7" s="20"/>
      <c r="BAC7" s="20"/>
      <c r="BAD7" s="20"/>
      <c r="BAE7" s="20"/>
      <c r="BAF7" s="20"/>
      <c r="BAG7" s="20"/>
      <c r="BAH7" s="20"/>
      <c r="BAI7" s="20"/>
      <c r="BAJ7" s="20"/>
      <c r="BAK7" s="20"/>
      <c r="BAL7" s="20"/>
      <c r="BAM7" s="20"/>
      <c r="BAN7" s="20"/>
      <c r="BAO7" s="20"/>
      <c r="BAP7" s="20"/>
      <c r="BAQ7" s="20"/>
      <c r="BAR7" s="20"/>
      <c r="BAS7" s="20"/>
      <c r="BAT7" s="20"/>
      <c r="BAU7" s="20"/>
      <c r="BAV7" s="20"/>
      <c r="BAW7" s="20"/>
      <c r="BAX7" s="20"/>
      <c r="BAY7" s="20"/>
      <c r="BAZ7" s="20"/>
      <c r="BBA7" s="20"/>
      <c r="BBB7" s="20"/>
      <c r="BBC7" s="20"/>
      <c r="BBD7" s="20"/>
      <c r="BBE7" s="20"/>
      <c r="BBF7" s="20"/>
      <c r="BBG7" s="20"/>
      <c r="BBH7" s="20"/>
      <c r="BBI7" s="20"/>
      <c r="BBJ7" s="20"/>
      <c r="BBK7" s="20"/>
      <c r="BBL7" s="20"/>
      <c r="BBM7" s="20"/>
      <c r="BBN7" s="20"/>
      <c r="BBO7" s="20"/>
      <c r="BBP7" s="20"/>
      <c r="BBQ7" s="20"/>
      <c r="BBR7" s="20"/>
      <c r="BBS7" s="20"/>
      <c r="BBT7" s="20"/>
      <c r="BBU7" s="20"/>
      <c r="BBV7" s="20"/>
      <c r="BBW7" s="20"/>
      <c r="BBX7" s="20"/>
      <c r="BBY7" s="20"/>
      <c r="BBZ7" s="20"/>
      <c r="BCA7" s="20"/>
      <c r="BCB7" s="20"/>
      <c r="BCC7" s="20"/>
      <c r="BCD7" s="20"/>
      <c r="BCE7" s="20"/>
      <c r="BCF7" s="20"/>
      <c r="BCG7" s="20"/>
      <c r="BCH7" s="20"/>
      <c r="BCI7" s="20"/>
      <c r="BCJ7" s="20"/>
      <c r="BCK7" s="20"/>
      <c r="BCL7" s="20"/>
      <c r="BCM7" s="20"/>
      <c r="BCN7" s="20"/>
      <c r="BCO7" s="20"/>
      <c r="BCP7" s="20"/>
      <c r="BCQ7" s="20"/>
      <c r="BCR7" s="20"/>
      <c r="BCS7" s="20"/>
      <c r="BCT7" s="20"/>
      <c r="BCU7" s="20"/>
      <c r="BCV7" s="20"/>
      <c r="BCW7" s="20"/>
      <c r="BCX7" s="20"/>
      <c r="BCY7" s="20"/>
      <c r="BCZ7" s="20"/>
      <c r="BDA7" s="20"/>
      <c r="BDB7" s="20"/>
      <c r="BDC7" s="20"/>
      <c r="BDD7" s="20"/>
      <c r="BDE7" s="20"/>
      <c r="BDF7" s="20"/>
      <c r="BDG7" s="20"/>
      <c r="BDH7" s="20"/>
      <c r="BDI7" s="20"/>
      <c r="BDJ7" s="20"/>
      <c r="BDK7" s="20"/>
      <c r="BDL7" s="20"/>
      <c r="BDM7" s="20"/>
      <c r="BDN7" s="20"/>
      <c r="BDO7" s="20"/>
      <c r="BDP7" s="20"/>
      <c r="BDQ7" s="20"/>
      <c r="BDR7" s="20"/>
      <c r="BDS7" s="20"/>
      <c r="BDT7" s="20"/>
      <c r="BDU7" s="20"/>
      <c r="BDV7" s="20"/>
      <c r="BDW7" s="20"/>
      <c r="BDX7" s="20"/>
      <c r="BDY7" s="20"/>
      <c r="BDZ7" s="20"/>
      <c r="BEA7" s="20"/>
      <c r="BEB7" s="20"/>
      <c r="BEC7" s="20"/>
      <c r="BED7" s="20"/>
      <c r="BEE7" s="20"/>
      <c r="BEF7" s="20"/>
      <c r="BEG7" s="20"/>
      <c r="BEH7" s="20"/>
      <c r="BEI7" s="20"/>
      <c r="BEJ7" s="20"/>
      <c r="BEK7" s="20"/>
      <c r="BEL7" s="20"/>
      <c r="BEM7" s="20"/>
      <c r="BEN7" s="20"/>
      <c r="BEO7" s="20"/>
      <c r="BEP7" s="20"/>
      <c r="BEQ7" s="20"/>
      <c r="BER7" s="20"/>
      <c r="BES7" s="20"/>
      <c r="BET7" s="20"/>
      <c r="BEU7" s="20"/>
      <c r="BEV7" s="20"/>
      <c r="BEW7" s="20"/>
      <c r="BEX7" s="20"/>
      <c r="BEY7" s="20"/>
      <c r="BEZ7" s="20"/>
      <c r="BFA7" s="20"/>
      <c r="BFB7" s="20"/>
      <c r="BFC7" s="20"/>
      <c r="BFD7" s="20"/>
      <c r="BFE7" s="20"/>
      <c r="BFF7" s="20"/>
      <c r="BFG7" s="20"/>
      <c r="BFH7" s="20"/>
      <c r="BFI7" s="20"/>
      <c r="BFJ7" s="20"/>
      <c r="BFK7" s="20"/>
      <c r="BFL7" s="20"/>
      <c r="BFM7" s="20"/>
      <c r="BFN7" s="20"/>
      <c r="BFO7" s="20"/>
      <c r="BFP7" s="20"/>
      <c r="BFQ7" s="20"/>
      <c r="BFR7" s="20"/>
      <c r="BFS7" s="20"/>
      <c r="BFT7" s="20"/>
      <c r="BFU7" s="20"/>
      <c r="BFV7" s="20"/>
      <c r="BFW7" s="20"/>
      <c r="BFX7" s="20"/>
      <c r="BFY7" s="20"/>
      <c r="BFZ7" s="20"/>
      <c r="BGA7" s="20"/>
      <c r="BGB7" s="20"/>
      <c r="BGC7" s="20"/>
      <c r="BGD7" s="20"/>
      <c r="BGE7" s="20"/>
      <c r="BGF7" s="20"/>
      <c r="BGG7" s="20"/>
      <c r="BGH7" s="20"/>
      <c r="BGI7" s="20"/>
      <c r="BGJ7" s="20"/>
      <c r="BGK7" s="20"/>
      <c r="BGL7" s="20"/>
      <c r="BGM7" s="20"/>
      <c r="BGN7" s="20"/>
      <c r="BGO7" s="20"/>
      <c r="BGP7" s="20"/>
      <c r="BGQ7" s="20"/>
      <c r="BGR7" s="20"/>
      <c r="BGS7" s="20"/>
      <c r="BGT7" s="20"/>
      <c r="BGU7" s="20"/>
      <c r="BGV7" s="20"/>
      <c r="BGW7" s="20"/>
      <c r="BGX7" s="20"/>
      <c r="BGY7" s="20"/>
      <c r="BGZ7" s="20"/>
      <c r="BHA7" s="20"/>
      <c r="BHB7" s="20"/>
      <c r="BHC7" s="20"/>
      <c r="BHD7" s="20"/>
      <c r="BHE7" s="20"/>
      <c r="BHF7" s="20"/>
      <c r="BHG7" s="20"/>
      <c r="BHH7" s="20"/>
      <c r="BHI7" s="20"/>
      <c r="BHJ7" s="20"/>
      <c r="BHK7" s="20"/>
      <c r="BHL7" s="20"/>
      <c r="BHM7" s="20"/>
      <c r="BHN7" s="20"/>
      <c r="BHO7" s="20"/>
      <c r="BHP7" s="20"/>
      <c r="BHQ7" s="20"/>
      <c r="BHR7" s="20"/>
      <c r="BHS7" s="20"/>
      <c r="BHT7" s="20"/>
      <c r="BHU7" s="20"/>
      <c r="BHV7" s="20"/>
      <c r="BHW7" s="20"/>
      <c r="BHX7" s="20"/>
      <c r="BHY7" s="20"/>
      <c r="BHZ7" s="20"/>
      <c r="BIA7" s="20"/>
      <c r="BIB7" s="20"/>
      <c r="BIC7" s="20"/>
      <c r="BID7" s="20"/>
      <c r="BIE7" s="20"/>
      <c r="BIF7" s="20"/>
      <c r="BIG7" s="20"/>
      <c r="BIH7" s="20"/>
      <c r="BII7" s="20"/>
      <c r="BIJ7" s="20"/>
      <c r="BIK7" s="20"/>
      <c r="BIL7" s="20"/>
      <c r="BIM7" s="20"/>
      <c r="BIN7" s="20"/>
      <c r="BIO7" s="20"/>
      <c r="BIP7" s="20"/>
      <c r="BIQ7" s="20"/>
      <c r="BIR7" s="20"/>
      <c r="BIS7" s="20"/>
      <c r="BIT7" s="20"/>
      <c r="BIU7" s="20"/>
      <c r="BIV7" s="20"/>
      <c r="BIW7" s="20"/>
      <c r="BIX7" s="20"/>
      <c r="BIY7" s="20"/>
      <c r="BIZ7" s="20"/>
      <c r="BJA7" s="20"/>
      <c r="BJB7" s="20"/>
      <c r="BJC7" s="20"/>
      <c r="BJD7" s="20"/>
      <c r="BJE7" s="20"/>
      <c r="BJF7" s="20"/>
      <c r="BJG7" s="20"/>
      <c r="BJH7" s="20"/>
      <c r="BJI7" s="20"/>
      <c r="BJJ7" s="20"/>
      <c r="BJK7" s="20"/>
      <c r="BJL7" s="20"/>
      <c r="BJM7" s="20"/>
      <c r="BJN7" s="20"/>
      <c r="BJO7" s="20"/>
      <c r="BJP7" s="20"/>
      <c r="BJQ7" s="20"/>
      <c r="BJR7" s="20"/>
      <c r="BJS7" s="20"/>
      <c r="BJT7" s="20"/>
      <c r="BJU7" s="20"/>
      <c r="BJV7" s="20"/>
      <c r="BJW7" s="20"/>
      <c r="BJX7" s="20"/>
      <c r="BJY7" s="20"/>
      <c r="BJZ7" s="20"/>
      <c r="BKA7" s="20"/>
      <c r="BKB7" s="20"/>
      <c r="BKC7" s="20"/>
      <c r="BKD7" s="20"/>
      <c r="BKE7" s="20"/>
      <c r="BKF7" s="20"/>
      <c r="BKG7" s="20"/>
      <c r="BKH7" s="20"/>
      <c r="BKI7" s="20"/>
      <c r="BKJ7" s="20"/>
      <c r="BKK7" s="20"/>
      <c r="BKL7" s="20"/>
      <c r="BKM7" s="20"/>
      <c r="BKN7" s="20"/>
      <c r="BKO7" s="20"/>
      <c r="BKP7" s="20"/>
      <c r="BKQ7" s="20"/>
      <c r="BKR7" s="20"/>
      <c r="BKS7" s="20"/>
      <c r="BKT7" s="20"/>
      <c r="BKU7" s="20"/>
      <c r="BKV7" s="20"/>
      <c r="BKW7" s="20"/>
      <c r="BKX7" s="20"/>
      <c r="BKY7" s="20"/>
      <c r="BKZ7" s="20"/>
      <c r="BLA7" s="20"/>
      <c r="BLB7" s="20"/>
      <c r="BLC7" s="20"/>
      <c r="BLD7" s="20"/>
      <c r="BLE7" s="20"/>
      <c r="BLF7" s="20"/>
      <c r="BLG7" s="20"/>
      <c r="BLH7" s="20"/>
      <c r="BLI7" s="20"/>
      <c r="BLJ7" s="20"/>
      <c r="BLK7" s="20"/>
      <c r="BLL7" s="20"/>
      <c r="BLM7" s="20"/>
      <c r="BLN7" s="20"/>
      <c r="BLO7" s="20"/>
      <c r="BLP7" s="20"/>
      <c r="BLQ7" s="20"/>
      <c r="BLR7" s="20"/>
      <c r="BLS7" s="20"/>
      <c r="BLT7" s="20"/>
      <c r="BLU7" s="20"/>
      <c r="BLV7" s="20"/>
      <c r="BLW7" s="20"/>
      <c r="BLX7" s="20"/>
      <c r="BLY7" s="20"/>
      <c r="BLZ7" s="20"/>
      <c r="BMA7" s="20"/>
      <c r="BMB7" s="20"/>
      <c r="BMC7" s="20"/>
      <c r="BMD7" s="20"/>
      <c r="BME7" s="20"/>
      <c r="BMF7" s="20"/>
      <c r="BMG7" s="20"/>
      <c r="BMH7" s="20"/>
      <c r="BMI7" s="20"/>
      <c r="BMJ7" s="20"/>
      <c r="BMK7" s="20"/>
      <c r="BML7" s="20"/>
      <c r="BMM7" s="20"/>
      <c r="BMN7" s="20"/>
      <c r="BMO7" s="20"/>
      <c r="BMP7" s="20"/>
      <c r="BMQ7" s="20"/>
      <c r="BMR7" s="20"/>
      <c r="BMS7" s="20"/>
      <c r="BMT7" s="20"/>
      <c r="BMU7" s="20"/>
      <c r="BMV7" s="20"/>
      <c r="BMW7" s="20"/>
      <c r="BMX7" s="20"/>
      <c r="BMY7" s="20"/>
      <c r="BMZ7" s="20"/>
      <c r="BNA7" s="20"/>
      <c r="BNB7" s="20"/>
      <c r="BNC7" s="20"/>
      <c r="BND7" s="20"/>
      <c r="BNE7" s="20"/>
      <c r="BNF7" s="20"/>
      <c r="BNG7" s="20"/>
      <c r="BNH7" s="20"/>
      <c r="BNI7" s="20"/>
      <c r="BNJ7" s="20"/>
      <c r="BNK7" s="20"/>
      <c r="BNL7" s="20"/>
      <c r="BNM7" s="20"/>
      <c r="BNN7" s="20"/>
      <c r="BNO7" s="20"/>
      <c r="BNP7" s="20"/>
      <c r="BNQ7" s="20"/>
      <c r="BNR7" s="20"/>
      <c r="BNS7" s="20"/>
      <c r="BNT7" s="20"/>
      <c r="BNU7" s="20"/>
      <c r="BNV7" s="20"/>
      <c r="BNW7" s="20"/>
      <c r="BNX7" s="20"/>
      <c r="BNY7" s="20"/>
      <c r="BNZ7" s="20"/>
      <c r="BOA7" s="20"/>
      <c r="BOB7" s="20"/>
      <c r="BOC7" s="20"/>
      <c r="BOD7" s="20"/>
      <c r="BOE7" s="20"/>
      <c r="BOF7" s="20"/>
      <c r="BOG7" s="20"/>
      <c r="BOH7" s="20"/>
      <c r="BOI7" s="20"/>
      <c r="BOJ7" s="20"/>
      <c r="BOK7" s="20"/>
      <c r="BOL7" s="20"/>
      <c r="BOM7" s="20"/>
      <c r="BON7" s="20"/>
      <c r="BOO7" s="20"/>
      <c r="BOP7" s="20"/>
      <c r="BOQ7" s="20"/>
      <c r="BOR7" s="20"/>
      <c r="BOS7" s="20"/>
      <c r="BOT7" s="20"/>
      <c r="BOU7" s="20"/>
      <c r="BOV7" s="20"/>
      <c r="BOW7" s="20"/>
      <c r="BOX7" s="20"/>
      <c r="BOY7" s="20"/>
      <c r="BOZ7" s="20"/>
      <c r="BPA7" s="20"/>
      <c r="BPB7" s="20"/>
      <c r="BPC7" s="20"/>
      <c r="BPD7" s="20"/>
      <c r="BPE7" s="20"/>
      <c r="BPF7" s="20"/>
      <c r="BPG7" s="20"/>
      <c r="BPH7" s="20"/>
      <c r="BPI7" s="20"/>
      <c r="BPJ7" s="20"/>
      <c r="BPK7" s="20"/>
      <c r="BPL7" s="20"/>
      <c r="BPM7" s="20"/>
      <c r="BPN7" s="20"/>
      <c r="BPO7" s="20"/>
      <c r="BPP7" s="20"/>
      <c r="BPQ7" s="20"/>
      <c r="BPR7" s="20"/>
      <c r="BPS7" s="20"/>
      <c r="BPT7" s="20"/>
      <c r="BPU7" s="20"/>
      <c r="BPV7" s="20"/>
      <c r="BPW7" s="20"/>
      <c r="BPX7" s="20"/>
      <c r="BPY7" s="20"/>
      <c r="BPZ7" s="20"/>
      <c r="BQA7" s="20"/>
      <c r="BQB7" s="20"/>
      <c r="BQC7" s="20"/>
      <c r="BQD7" s="20"/>
      <c r="BQE7" s="20"/>
      <c r="BQF7" s="20"/>
      <c r="BQG7" s="20"/>
      <c r="BQH7" s="20"/>
      <c r="BQI7" s="20"/>
      <c r="BQJ7" s="20"/>
      <c r="BQK7" s="20"/>
      <c r="BQL7" s="20"/>
      <c r="BQM7" s="20"/>
      <c r="BQN7" s="20"/>
      <c r="BQO7" s="20"/>
      <c r="BQP7" s="20"/>
      <c r="BQQ7" s="20"/>
      <c r="BQR7" s="20"/>
      <c r="BQS7" s="20"/>
      <c r="BQT7" s="20"/>
      <c r="BQU7" s="20"/>
      <c r="BQV7" s="20"/>
      <c r="BQW7" s="20"/>
      <c r="BQX7" s="20"/>
      <c r="BQY7" s="20"/>
      <c r="BQZ7" s="20"/>
      <c r="BRA7" s="20"/>
      <c r="BRB7" s="20"/>
      <c r="BRC7" s="20"/>
      <c r="BRD7" s="20"/>
      <c r="BRE7" s="20"/>
      <c r="BRF7" s="20"/>
      <c r="BRG7" s="20"/>
      <c r="BRH7" s="20"/>
      <c r="BRI7" s="20"/>
      <c r="BRJ7" s="20"/>
      <c r="BRK7" s="20"/>
      <c r="BRL7" s="20"/>
      <c r="BRM7" s="20"/>
      <c r="BRN7" s="20"/>
      <c r="BRO7" s="20"/>
      <c r="BRP7" s="20"/>
      <c r="BRQ7" s="20"/>
      <c r="BRR7" s="20"/>
      <c r="BRS7" s="20"/>
      <c r="BRT7" s="20"/>
      <c r="BRU7" s="20"/>
      <c r="BRV7" s="20"/>
      <c r="BRW7" s="20"/>
      <c r="BRX7" s="20"/>
      <c r="BRY7" s="20"/>
      <c r="BRZ7" s="20"/>
      <c r="BSA7" s="20"/>
      <c r="BSB7" s="20"/>
      <c r="BSC7" s="20"/>
      <c r="BSD7" s="20"/>
      <c r="BSE7" s="20"/>
      <c r="BSF7" s="20"/>
      <c r="BSG7" s="20"/>
      <c r="BSH7" s="20"/>
      <c r="BSI7" s="20"/>
      <c r="BSJ7" s="20"/>
      <c r="BSK7" s="20"/>
      <c r="BSL7" s="20"/>
      <c r="BSM7" s="20"/>
      <c r="BSN7" s="20"/>
      <c r="BSO7" s="20"/>
      <c r="BSP7" s="20"/>
      <c r="BSQ7" s="20"/>
      <c r="BSR7" s="20"/>
      <c r="BSS7" s="20"/>
      <c r="BST7" s="20"/>
      <c r="BSU7" s="20"/>
      <c r="BSV7" s="20"/>
      <c r="BSW7" s="20"/>
      <c r="BSX7" s="20"/>
      <c r="BSY7" s="20"/>
      <c r="BSZ7" s="20"/>
      <c r="BTA7" s="20"/>
      <c r="BTB7" s="20"/>
      <c r="BTC7" s="20"/>
      <c r="BTD7" s="20"/>
      <c r="BTE7" s="20"/>
      <c r="BTF7" s="20"/>
      <c r="BTG7" s="20"/>
      <c r="BTH7" s="20"/>
      <c r="BTI7" s="20"/>
      <c r="BTJ7" s="20"/>
      <c r="BTK7" s="20"/>
      <c r="BTL7" s="20"/>
      <c r="BTM7" s="20"/>
      <c r="BTN7" s="20"/>
      <c r="BTO7" s="20"/>
      <c r="BTP7" s="20"/>
      <c r="BTQ7" s="20"/>
      <c r="BTR7" s="20"/>
      <c r="BTS7" s="20"/>
      <c r="BTT7" s="20"/>
      <c r="BTU7" s="20"/>
      <c r="BTV7" s="20"/>
      <c r="BTW7" s="20"/>
      <c r="BTX7" s="20"/>
      <c r="BTY7" s="20"/>
      <c r="BTZ7" s="20"/>
      <c r="BUA7" s="20"/>
      <c r="BUB7" s="20"/>
      <c r="BUC7" s="20"/>
      <c r="BUD7" s="20"/>
      <c r="BUE7" s="20"/>
      <c r="BUF7" s="20"/>
      <c r="BUG7" s="20"/>
      <c r="BUH7" s="20"/>
      <c r="BUI7" s="20"/>
      <c r="BUJ7" s="20"/>
      <c r="BUK7" s="20"/>
      <c r="BUL7" s="20"/>
      <c r="BUM7" s="20"/>
      <c r="BUN7" s="20"/>
      <c r="BUO7" s="20"/>
      <c r="BUP7" s="20"/>
      <c r="BUQ7" s="20"/>
      <c r="BUR7" s="20"/>
      <c r="BUS7" s="20"/>
      <c r="BUT7" s="20"/>
      <c r="BUU7" s="20"/>
      <c r="BUV7" s="20"/>
      <c r="BUW7" s="20"/>
      <c r="BUX7" s="20"/>
      <c r="BUY7" s="20"/>
      <c r="BUZ7" s="20"/>
      <c r="BVA7" s="20"/>
      <c r="BVB7" s="20"/>
      <c r="BVC7" s="20"/>
      <c r="BVD7" s="20"/>
      <c r="BVE7" s="20"/>
      <c r="BVF7" s="20"/>
      <c r="BVG7" s="20"/>
      <c r="BVH7" s="20"/>
      <c r="BVI7" s="20"/>
      <c r="BVJ7" s="20"/>
      <c r="BVK7" s="20"/>
      <c r="BVL7" s="20"/>
      <c r="BVM7" s="20"/>
      <c r="BVN7" s="20"/>
      <c r="BVO7" s="20"/>
      <c r="BVP7" s="20"/>
      <c r="BVQ7" s="20"/>
      <c r="BVR7" s="20"/>
      <c r="BVS7" s="20"/>
      <c r="BVT7" s="20"/>
      <c r="BVU7" s="20"/>
      <c r="BVV7" s="20"/>
      <c r="BVW7" s="20"/>
      <c r="BVX7" s="20"/>
      <c r="BVY7" s="20"/>
      <c r="BVZ7" s="20"/>
      <c r="BWA7" s="20"/>
      <c r="BWB7" s="20"/>
      <c r="BWC7" s="20"/>
      <c r="BWD7" s="20"/>
      <c r="BWE7" s="20"/>
      <c r="BWF7" s="20"/>
      <c r="BWG7" s="20"/>
      <c r="BWH7" s="20"/>
      <c r="BWI7" s="20"/>
      <c r="BWJ7" s="20"/>
      <c r="BWK7" s="20"/>
      <c r="BWL7" s="20"/>
      <c r="BWM7" s="20"/>
      <c r="BWN7" s="20"/>
      <c r="BWO7" s="20"/>
      <c r="BWP7" s="20"/>
      <c r="BWQ7" s="20"/>
      <c r="BWR7" s="20"/>
      <c r="BWS7" s="20"/>
      <c r="BWT7" s="20"/>
      <c r="BWU7" s="20"/>
      <c r="BWV7" s="20"/>
      <c r="BWW7" s="20"/>
      <c r="BWX7" s="20"/>
      <c r="BWY7" s="20"/>
      <c r="BWZ7" s="20"/>
      <c r="BXA7" s="20"/>
      <c r="BXB7" s="20"/>
      <c r="BXC7" s="20"/>
      <c r="BXD7" s="20"/>
      <c r="BXE7" s="20"/>
      <c r="BXF7" s="20"/>
      <c r="BXG7" s="20"/>
      <c r="BXH7" s="20"/>
      <c r="BXI7" s="20"/>
      <c r="BXJ7" s="20"/>
      <c r="BXK7" s="20"/>
      <c r="BXL7" s="20"/>
      <c r="BXM7" s="20"/>
      <c r="BXN7" s="20"/>
      <c r="BXO7" s="20"/>
      <c r="BXP7" s="20"/>
      <c r="BXQ7" s="20"/>
      <c r="BXR7" s="20"/>
      <c r="BXS7" s="20"/>
      <c r="BXT7" s="20"/>
      <c r="BXU7" s="20"/>
      <c r="BXV7" s="20"/>
      <c r="BXW7" s="20"/>
      <c r="BXX7" s="20"/>
      <c r="BXY7" s="20"/>
      <c r="BXZ7" s="20"/>
      <c r="BYA7" s="20"/>
      <c r="BYB7" s="20"/>
      <c r="BYC7" s="20"/>
      <c r="BYD7" s="20"/>
      <c r="BYE7" s="20"/>
      <c r="BYF7" s="20"/>
      <c r="BYG7" s="20"/>
      <c r="BYH7" s="20"/>
      <c r="BYI7" s="20"/>
      <c r="BYJ7" s="20"/>
      <c r="BYK7" s="20"/>
      <c r="BYL7" s="20"/>
      <c r="BYM7" s="20"/>
      <c r="BYN7" s="20"/>
      <c r="BYO7" s="20"/>
      <c r="BYP7" s="20"/>
      <c r="BYQ7" s="20"/>
      <c r="BYR7" s="20"/>
      <c r="BYS7" s="20"/>
      <c r="BYT7" s="20"/>
      <c r="BYU7" s="20"/>
      <c r="BYV7" s="20"/>
      <c r="BYW7" s="20"/>
      <c r="BYX7" s="20"/>
      <c r="BYY7" s="20"/>
      <c r="BYZ7" s="20"/>
      <c r="BZA7" s="20"/>
      <c r="BZB7" s="20"/>
      <c r="BZC7" s="20"/>
      <c r="BZD7" s="20"/>
      <c r="BZE7" s="20"/>
      <c r="BZF7" s="20"/>
      <c r="BZG7" s="20"/>
      <c r="BZH7" s="20"/>
      <c r="BZI7" s="20"/>
      <c r="BZJ7" s="20"/>
      <c r="BZK7" s="20"/>
      <c r="BZL7" s="20"/>
      <c r="BZM7" s="20"/>
      <c r="BZN7" s="20"/>
      <c r="BZO7" s="20"/>
      <c r="BZP7" s="20"/>
      <c r="BZQ7" s="20"/>
      <c r="BZR7" s="20"/>
      <c r="BZS7" s="20"/>
      <c r="BZT7" s="20"/>
      <c r="BZU7" s="20"/>
      <c r="BZV7" s="20"/>
      <c r="BZW7" s="20"/>
      <c r="BZX7" s="20"/>
      <c r="BZY7" s="20"/>
      <c r="BZZ7" s="20"/>
      <c r="CAA7" s="20"/>
      <c r="CAB7" s="20"/>
      <c r="CAC7" s="20"/>
      <c r="CAD7" s="20"/>
      <c r="CAE7" s="20"/>
      <c r="CAF7" s="20"/>
      <c r="CAG7" s="20"/>
      <c r="CAH7" s="20"/>
      <c r="CAI7" s="20"/>
      <c r="CAJ7" s="20"/>
      <c r="CAK7" s="20"/>
      <c r="CAL7" s="20"/>
      <c r="CAM7" s="20"/>
      <c r="CAN7" s="20"/>
      <c r="CAO7" s="20"/>
      <c r="CAP7" s="20"/>
      <c r="CAQ7" s="20"/>
      <c r="CAR7" s="20"/>
      <c r="CAS7" s="20"/>
      <c r="CAT7" s="20"/>
      <c r="CAU7" s="20"/>
      <c r="CAV7" s="20"/>
      <c r="CAW7" s="20"/>
      <c r="CAX7" s="20"/>
      <c r="CAY7" s="20"/>
      <c r="CAZ7" s="20"/>
      <c r="CBA7" s="20"/>
      <c r="CBB7" s="20"/>
      <c r="CBC7" s="20"/>
      <c r="CBD7" s="20"/>
      <c r="CBE7" s="20"/>
      <c r="CBF7" s="20"/>
      <c r="CBG7" s="20"/>
      <c r="CBH7" s="20"/>
      <c r="CBI7" s="20"/>
      <c r="CBJ7" s="20"/>
      <c r="CBK7" s="20"/>
      <c r="CBL7" s="20"/>
      <c r="CBM7" s="20"/>
      <c r="CBN7" s="20"/>
      <c r="CBO7" s="20"/>
      <c r="CBP7" s="20"/>
      <c r="CBQ7" s="20"/>
      <c r="CBR7" s="20"/>
      <c r="CBS7" s="20"/>
      <c r="CBT7" s="20"/>
      <c r="CBU7" s="20"/>
      <c r="CBV7" s="20"/>
      <c r="CBW7" s="20"/>
      <c r="CBX7" s="20"/>
      <c r="CBY7" s="20"/>
      <c r="CBZ7" s="20"/>
      <c r="CCA7" s="20"/>
      <c r="CCB7" s="20"/>
      <c r="CCC7" s="20"/>
      <c r="CCD7" s="20"/>
      <c r="CCE7" s="20"/>
      <c r="CCF7" s="20"/>
      <c r="CCG7" s="20"/>
      <c r="CCH7" s="20"/>
      <c r="CCI7" s="20"/>
      <c r="CCJ7" s="20"/>
      <c r="CCK7" s="20"/>
      <c r="CCL7" s="20"/>
      <c r="CCM7" s="20"/>
      <c r="CCN7" s="20"/>
      <c r="CCO7" s="20"/>
      <c r="CCP7" s="20"/>
      <c r="CCQ7" s="20"/>
      <c r="CCR7" s="20"/>
      <c r="CCS7" s="20"/>
      <c r="CCT7" s="20"/>
      <c r="CCU7" s="20"/>
      <c r="CCV7" s="20"/>
      <c r="CCW7" s="20"/>
      <c r="CCX7" s="20"/>
      <c r="CCY7" s="20"/>
      <c r="CCZ7" s="20"/>
      <c r="CDA7" s="20"/>
      <c r="CDB7" s="20"/>
      <c r="CDC7" s="20"/>
      <c r="CDD7" s="20"/>
      <c r="CDE7" s="20"/>
      <c r="CDF7" s="20"/>
      <c r="CDG7" s="20"/>
      <c r="CDH7" s="20"/>
      <c r="CDI7" s="20"/>
      <c r="CDJ7" s="20"/>
      <c r="CDK7" s="20"/>
      <c r="CDL7" s="20"/>
      <c r="CDM7" s="20"/>
      <c r="CDN7" s="20"/>
      <c r="CDO7" s="20"/>
      <c r="CDP7" s="20"/>
      <c r="CDQ7" s="20"/>
      <c r="CDR7" s="20"/>
      <c r="CDS7" s="20"/>
      <c r="CDT7" s="20"/>
      <c r="CDU7" s="20"/>
      <c r="CDV7" s="20"/>
      <c r="CDW7" s="20"/>
      <c r="CDX7" s="20"/>
      <c r="CDY7" s="20"/>
      <c r="CDZ7" s="20"/>
      <c r="CEA7" s="20"/>
      <c r="CEB7" s="20"/>
      <c r="CEC7" s="20"/>
      <c r="CED7" s="20"/>
      <c r="CEE7" s="20"/>
      <c r="CEF7" s="20"/>
      <c r="CEG7" s="20"/>
      <c r="CEH7" s="20"/>
      <c r="CEI7" s="20"/>
      <c r="CEJ7" s="20"/>
      <c r="CEK7" s="20"/>
      <c r="CEL7" s="20"/>
      <c r="CEM7" s="20"/>
      <c r="CEN7" s="20"/>
      <c r="CEO7" s="20"/>
      <c r="CEP7" s="20"/>
      <c r="CEQ7" s="20"/>
      <c r="CER7" s="20"/>
      <c r="CES7" s="20"/>
      <c r="CET7" s="20"/>
      <c r="CEU7" s="20"/>
      <c r="CEV7" s="20"/>
      <c r="CEW7" s="20"/>
      <c r="CEX7" s="20"/>
      <c r="CEY7" s="20"/>
      <c r="CEZ7" s="20"/>
      <c r="CFA7" s="20"/>
      <c r="CFB7" s="20"/>
      <c r="CFC7" s="20"/>
      <c r="CFD7" s="20"/>
      <c r="CFE7" s="20"/>
      <c r="CFF7" s="20"/>
      <c r="CFG7" s="20"/>
      <c r="CFH7" s="20"/>
      <c r="CFI7" s="20"/>
      <c r="CFJ7" s="20"/>
      <c r="CFK7" s="20"/>
      <c r="CFL7" s="20"/>
      <c r="CFM7" s="20"/>
      <c r="CFN7" s="20"/>
      <c r="CFO7" s="20"/>
      <c r="CFP7" s="20"/>
      <c r="CFQ7" s="20"/>
      <c r="CFR7" s="20"/>
      <c r="CFS7" s="20"/>
      <c r="CFT7" s="20"/>
      <c r="CFU7" s="20"/>
      <c r="CFV7" s="20"/>
      <c r="CFW7" s="20"/>
      <c r="CFX7" s="20"/>
      <c r="CFY7" s="20"/>
      <c r="CFZ7" s="20"/>
      <c r="CGA7" s="20"/>
      <c r="CGB7" s="20"/>
      <c r="CGC7" s="20"/>
      <c r="CGD7" s="20"/>
      <c r="CGE7" s="20"/>
      <c r="CGF7" s="20"/>
      <c r="CGG7" s="20"/>
      <c r="CGH7" s="20"/>
      <c r="CGI7" s="20"/>
      <c r="CGJ7" s="20"/>
      <c r="CGK7" s="20"/>
      <c r="CGL7" s="20"/>
      <c r="CGM7" s="20"/>
      <c r="CGN7" s="20"/>
      <c r="CGO7" s="20"/>
      <c r="CGP7" s="20"/>
      <c r="CGQ7" s="20"/>
      <c r="CGR7" s="20"/>
      <c r="CGS7" s="20"/>
      <c r="CGT7" s="20"/>
      <c r="CGU7" s="20"/>
      <c r="CGV7" s="20"/>
      <c r="CGW7" s="20"/>
      <c r="CGX7" s="20"/>
      <c r="CGY7" s="20"/>
      <c r="CGZ7" s="20"/>
      <c r="CHA7" s="20"/>
      <c r="CHB7" s="20"/>
      <c r="CHC7" s="20"/>
      <c r="CHD7" s="20"/>
      <c r="CHE7" s="20"/>
      <c r="CHF7" s="20"/>
      <c r="CHG7" s="20"/>
      <c r="CHH7" s="20"/>
      <c r="CHI7" s="20"/>
      <c r="CHJ7" s="20"/>
      <c r="CHK7" s="20"/>
      <c r="CHL7" s="20"/>
      <c r="CHM7" s="20"/>
      <c r="CHN7" s="20"/>
      <c r="CHO7" s="20"/>
      <c r="CHP7" s="20"/>
      <c r="CHQ7" s="20"/>
      <c r="CHR7" s="20"/>
      <c r="CHS7" s="20"/>
      <c r="CHT7" s="20"/>
      <c r="CHU7" s="20"/>
      <c r="CHV7" s="20"/>
      <c r="CHW7" s="20"/>
      <c r="CHX7" s="20"/>
      <c r="CHY7" s="20"/>
      <c r="CHZ7" s="20"/>
      <c r="CIA7" s="20"/>
      <c r="CIB7" s="20"/>
      <c r="CIC7" s="20"/>
      <c r="CID7" s="20"/>
      <c r="CIE7" s="20"/>
      <c r="CIF7" s="20"/>
      <c r="CIG7" s="20"/>
      <c r="CIH7" s="20"/>
      <c r="CII7" s="20"/>
      <c r="CIJ7" s="20"/>
      <c r="CIK7" s="20"/>
      <c r="CIL7" s="20"/>
      <c r="CIM7" s="20"/>
      <c r="CIN7" s="20"/>
      <c r="CIO7" s="20"/>
      <c r="CIP7" s="20"/>
      <c r="CIQ7" s="20"/>
      <c r="CIR7" s="20"/>
      <c r="CIS7" s="20"/>
      <c r="CIT7" s="20"/>
      <c r="CIU7" s="20"/>
      <c r="CIV7" s="20"/>
      <c r="CIW7" s="20"/>
      <c r="CIX7" s="20"/>
      <c r="CIY7" s="20"/>
      <c r="CIZ7" s="20"/>
      <c r="CJA7" s="20"/>
      <c r="CJB7" s="20"/>
      <c r="CJC7" s="20"/>
      <c r="CJD7" s="20"/>
      <c r="CJE7" s="20"/>
      <c r="CJF7" s="20"/>
      <c r="CJG7" s="20"/>
      <c r="CJH7" s="20"/>
      <c r="CJI7" s="20"/>
      <c r="CJJ7" s="20"/>
      <c r="CJK7" s="20"/>
      <c r="CJL7" s="20"/>
      <c r="CJM7" s="20"/>
      <c r="CJN7" s="20"/>
      <c r="CJO7" s="20"/>
      <c r="CJP7" s="20"/>
      <c r="CJQ7" s="20"/>
      <c r="CJR7" s="20"/>
      <c r="CJS7" s="20"/>
      <c r="CJT7" s="20"/>
      <c r="CJU7" s="20"/>
      <c r="CJV7" s="20"/>
      <c r="CJW7" s="20"/>
      <c r="CJX7" s="20"/>
      <c r="CJY7" s="20"/>
      <c r="CJZ7" s="20"/>
      <c r="CKA7" s="20"/>
      <c r="CKB7" s="20"/>
      <c r="CKC7" s="20"/>
      <c r="CKD7" s="20"/>
      <c r="CKE7" s="20"/>
      <c r="CKF7" s="20"/>
      <c r="CKG7" s="20"/>
      <c r="CKH7" s="20"/>
      <c r="CKI7" s="20"/>
      <c r="CKJ7" s="20"/>
      <c r="CKK7" s="20"/>
      <c r="CKL7" s="20"/>
      <c r="CKM7" s="20"/>
      <c r="CKN7" s="20"/>
      <c r="CKO7" s="20"/>
      <c r="CKP7" s="20"/>
      <c r="CKQ7" s="20"/>
      <c r="CKR7" s="20"/>
      <c r="CKS7" s="20"/>
      <c r="CKT7" s="20"/>
      <c r="CKU7" s="20"/>
      <c r="CKV7" s="20"/>
      <c r="CKW7" s="20"/>
      <c r="CKX7" s="20"/>
      <c r="CKY7" s="20"/>
      <c r="CKZ7" s="20"/>
      <c r="CLA7" s="20"/>
      <c r="CLB7" s="20"/>
      <c r="CLC7" s="20"/>
      <c r="CLD7" s="20"/>
      <c r="CLE7" s="20"/>
      <c r="CLF7" s="20"/>
      <c r="CLG7" s="20"/>
      <c r="CLH7" s="20"/>
      <c r="CLI7" s="20"/>
      <c r="CLJ7" s="20"/>
      <c r="CLK7" s="20"/>
      <c r="CLL7" s="20"/>
      <c r="CLM7" s="20"/>
      <c r="CLN7" s="20"/>
      <c r="CLO7" s="20"/>
      <c r="CLP7" s="20"/>
      <c r="CLQ7" s="20"/>
      <c r="CLR7" s="20"/>
      <c r="CLS7" s="20"/>
      <c r="CLT7" s="20"/>
      <c r="CLU7" s="20"/>
      <c r="CLV7" s="20"/>
      <c r="CLW7" s="20"/>
      <c r="CLX7" s="20"/>
      <c r="CLY7" s="20"/>
      <c r="CLZ7" s="20"/>
      <c r="CMA7" s="20"/>
      <c r="CMB7" s="20"/>
      <c r="CMC7" s="20"/>
      <c r="CMD7" s="20"/>
      <c r="CME7" s="20"/>
      <c r="CMF7" s="20"/>
      <c r="CMG7" s="20"/>
      <c r="CMH7" s="20"/>
      <c r="CMI7" s="20"/>
      <c r="CMJ7" s="20"/>
      <c r="CMK7" s="20"/>
      <c r="CML7" s="20"/>
      <c r="CMM7" s="20"/>
      <c r="CMN7" s="20"/>
      <c r="CMO7" s="20"/>
      <c r="CMP7" s="20"/>
      <c r="CMQ7" s="20"/>
      <c r="CMR7" s="20"/>
      <c r="CMS7" s="20"/>
      <c r="CMT7" s="20"/>
      <c r="CMU7" s="20"/>
      <c r="CMV7" s="20"/>
      <c r="CMW7" s="20"/>
      <c r="CMX7" s="20"/>
      <c r="CMY7" s="20"/>
      <c r="CMZ7" s="20"/>
      <c r="CNA7" s="20"/>
      <c r="CNB7" s="20"/>
      <c r="CNC7" s="20"/>
      <c r="CND7" s="20"/>
      <c r="CNE7" s="20"/>
      <c r="CNF7" s="20"/>
      <c r="CNG7" s="20"/>
      <c r="CNH7" s="20"/>
      <c r="CNI7" s="20"/>
      <c r="CNJ7" s="20"/>
      <c r="CNK7" s="20"/>
      <c r="CNL7" s="20"/>
      <c r="CNM7" s="20"/>
      <c r="CNN7" s="20"/>
      <c r="CNO7" s="20"/>
      <c r="CNP7" s="20"/>
      <c r="CNQ7" s="20"/>
      <c r="CNR7" s="20"/>
      <c r="CNS7" s="20"/>
      <c r="CNT7" s="20"/>
      <c r="CNU7" s="20"/>
      <c r="CNV7" s="20"/>
      <c r="CNW7" s="20"/>
      <c r="CNX7" s="20"/>
      <c r="CNY7" s="20"/>
      <c r="CNZ7" s="20"/>
      <c r="COA7" s="20"/>
      <c r="COB7" s="20"/>
      <c r="COC7" s="20"/>
      <c r="COD7" s="20"/>
      <c r="COE7" s="20"/>
      <c r="COF7" s="20"/>
      <c r="COG7" s="20"/>
      <c r="COH7" s="20"/>
      <c r="COI7" s="20"/>
      <c r="COJ7" s="20"/>
      <c r="COK7" s="20"/>
      <c r="COL7" s="20"/>
      <c r="COM7" s="20"/>
      <c r="CON7" s="20"/>
      <c r="COO7" s="20"/>
      <c r="COP7" s="20"/>
      <c r="COQ7" s="20"/>
      <c r="COR7" s="20"/>
      <c r="COS7" s="20"/>
      <c r="COT7" s="20"/>
      <c r="COU7" s="20"/>
      <c r="COV7" s="20"/>
      <c r="COW7" s="20"/>
      <c r="COX7" s="20"/>
      <c r="COY7" s="20"/>
      <c r="COZ7" s="20"/>
      <c r="CPA7" s="20"/>
      <c r="CPB7" s="20"/>
      <c r="CPC7" s="20"/>
      <c r="CPD7" s="20"/>
      <c r="CPE7" s="20"/>
      <c r="CPF7" s="20"/>
      <c r="CPG7" s="20"/>
      <c r="CPH7" s="20"/>
      <c r="CPI7" s="20"/>
      <c r="CPJ7" s="20"/>
      <c r="CPK7" s="20"/>
      <c r="CPL7" s="20"/>
      <c r="CPM7" s="20"/>
      <c r="CPN7" s="20"/>
      <c r="CPO7" s="20"/>
      <c r="CPP7" s="20"/>
      <c r="CPQ7" s="20"/>
      <c r="CPR7" s="20"/>
      <c r="CPS7" s="20"/>
      <c r="CPT7" s="20"/>
      <c r="CPU7" s="20"/>
      <c r="CPV7" s="20"/>
      <c r="CPW7" s="20"/>
      <c r="CPX7" s="20"/>
      <c r="CPY7" s="20"/>
      <c r="CPZ7" s="20"/>
      <c r="CQA7" s="20"/>
      <c r="CQB7" s="20"/>
      <c r="CQC7" s="20"/>
      <c r="CQD7" s="20"/>
      <c r="CQE7" s="20"/>
      <c r="CQF7" s="20"/>
      <c r="CQG7" s="20"/>
      <c r="CQH7" s="20"/>
      <c r="CQI7" s="20"/>
      <c r="CQJ7" s="20"/>
      <c r="CQK7" s="20"/>
      <c r="CQL7" s="20"/>
      <c r="CQM7" s="20"/>
      <c r="CQN7" s="20"/>
      <c r="CQO7" s="20"/>
      <c r="CQP7" s="20"/>
      <c r="CQQ7" s="20"/>
      <c r="CQR7" s="20"/>
      <c r="CQS7" s="20"/>
      <c r="CQT7" s="20"/>
      <c r="CQU7" s="20"/>
      <c r="CQV7" s="20"/>
      <c r="CQW7" s="20"/>
      <c r="CQX7" s="20"/>
      <c r="CQY7" s="20"/>
      <c r="CQZ7" s="20"/>
      <c r="CRA7" s="20"/>
      <c r="CRB7" s="20"/>
      <c r="CRC7" s="20"/>
      <c r="CRD7" s="20"/>
      <c r="CRE7" s="20"/>
      <c r="CRF7" s="20"/>
      <c r="CRG7" s="20"/>
      <c r="CRH7" s="20"/>
      <c r="CRI7" s="20"/>
      <c r="CRJ7" s="20"/>
      <c r="CRK7" s="20"/>
      <c r="CRL7" s="20"/>
      <c r="CRM7" s="20"/>
      <c r="CRN7" s="20"/>
      <c r="CRO7" s="20"/>
      <c r="CRP7" s="20"/>
      <c r="CRQ7" s="20"/>
      <c r="CRR7" s="20"/>
      <c r="CRS7" s="20"/>
      <c r="CRT7" s="20"/>
      <c r="CRU7" s="20"/>
      <c r="CRV7" s="20"/>
      <c r="CRW7" s="20"/>
      <c r="CRX7" s="20"/>
      <c r="CRY7" s="20"/>
      <c r="CRZ7" s="20"/>
      <c r="CSA7" s="20"/>
      <c r="CSB7" s="20"/>
      <c r="CSC7" s="20"/>
      <c r="CSD7" s="20"/>
      <c r="CSE7" s="20"/>
      <c r="CSF7" s="20"/>
      <c r="CSG7" s="20"/>
      <c r="CSH7" s="20"/>
      <c r="CSI7" s="20"/>
      <c r="CSJ7" s="20"/>
      <c r="CSK7" s="20"/>
      <c r="CSL7" s="20"/>
      <c r="CSM7" s="20"/>
      <c r="CSN7" s="20"/>
      <c r="CSO7" s="20"/>
      <c r="CSP7" s="20"/>
      <c r="CSQ7" s="20"/>
      <c r="CSR7" s="20"/>
      <c r="CSS7" s="20"/>
      <c r="CST7" s="20"/>
      <c r="CSU7" s="20"/>
      <c r="CSV7" s="20"/>
      <c r="CSW7" s="20"/>
      <c r="CSX7" s="20"/>
      <c r="CSY7" s="20"/>
      <c r="CSZ7" s="20"/>
      <c r="CTA7" s="20"/>
      <c r="CTB7" s="20"/>
      <c r="CTC7" s="20"/>
      <c r="CTD7" s="20"/>
      <c r="CTE7" s="20"/>
      <c r="CTF7" s="20"/>
      <c r="CTG7" s="20"/>
      <c r="CTH7" s="20"/>
      <c r="CTI7" s="20"/>
      <c r="CTJ7" s="20"/>
      <c r="CTK7" s="20"/>
      <c r="CTL7" s="20"/>
      <c r="CTM7" s="20"/>
      <c r="CTN7" s="20"/>
      <c r="CTO7" s="20"/>
      <c r="CTP7" s="20"/>
      <c r="CTQ7" s="20"/>
      <c r="CTR7" s="20"/>
      <c r="CTS7" s="20"/>
      <c r="CTT7" s="20"/>
      <c r="CTU7" s="20"/>
      <c r="CTV7" s="20"/>
      <c r="CTW7" s="20"/>
      <c r="CTX7" s="20"/>
      <c r="CTY7" s="20"/>
      <c r="CTZ7" s="20"/>
      <c r="CUA7" s="20"/>
      <c r="CUB7" s="20"/>
      <c r="CUC7" s="20"/>
      <c r="CUD7" s="20"/>
      <c r="CUE7" s="20"/>
      <c r="CUF7" s="20"/>
      <c r="CUG7" s="20"/>
      <c r="CUH7" s="20"/>
      <c r="CUI7" s="20"/>
      <c r="CUJ7" s="20"/>
      <c r="CUK7" s="20"/>
      <c r="CUL7" s="20"/>
      <c r="CUM7" s="20"/>
      <c r="CUN7" s="20"/>
      <c r="CUO7" s="20"/>
      <c r="CUP7" s="20"/>
      <c r="CUQ7" s="20"/>
      <c r="CUR7" s="20"/>
      <c r="CUS7" s="20"/>
      <c r="CUT7" s="20"/>
      <c r="CUU7" s="20"/>
      <c r="CUV7" s="20"/>
      <c r="CUW7" s="20"/>
      <c r="CUX7" s="20"/>
      <c r="CUY7" s="20"/>
      <c r="CUZ7" s="20"/>
      <c r="CVA7" s="20"/>
      <c r="CVB7" s="20"/>
      <c r="CVC7" s="20"/>
      <c r="CVD7" s="20"/>
      <c r="CVE7" s="20"/>
      <c r="CVF7" s="20"/>
      <c r="CVG7" s="20"/>
      <c r="CVH7" s="20"/>
      <c r="CVI7" s="20"/>
      <c r="CVJ7" s="20"/>
      <c r="CVK7" s="20"/>
      <c r="CVL7" s="20"/>
      <c r="CVM7" s="20"/>
      <c r="CVN7" s="20"/>
      <c r="CVO7" s="20"/>
      <c r="CVP7" s="20"/>
      <c r="CVQ7" s="20"/>
      <c r="CVR7" s="20"/>
      <c r="CVS7" s="20"/>
      <c r="CVT7" s="20"/>
      <c r="CVU7" s="20"/>
      <c r="CVV7" s="20"/>
      <c r="CVW7" s="20"/>
      <c r="CVX7" s="20"/>
      <c r="CVY7" s="20"/>
      <c r="CVZ7" s="20"/>
      <c r="CWA7" s="20"/>
      <c r="CWB7" s="20"/>
      <c r="CWC7" s="20"/>
      <c r="CWD7" s="20"/>
      <c r="CWE7" s="20"/>
      <c r="CWF7" s="20"/>
      <c r="CWG7" s="20"/>
      <c r="CWH7" s="20"/>
      <c r="CWI7" s="20"/>
      <c r="CWJ7" s="20"/>
      <c r="CWK7" s="20"/>
      <c r="CWL7" s="20"/>
      <c r="CWM7" s="20"/>
      <c r="CWN7" s="20"/>
      <c r="CWO7" s="20"/>
      <c r="CWP7" s="20"/>
      <c r="CWQ7" s="20"/>
      <c r="CWR7" s="20"/>
      <c r="CWS7" s="20"/>
      <c r="CWT7" s="20"/>
      <c r="CWU7" s="20"/>
      <c r="CWV7" s="20"/>
      <c r="CWW7" s="20"/>
      <c r="CWX7" s="20"/>
      <c r="CWY7" s="20"/>
      <c r="CWZ7" s="20"/>
      <c r="CXA7" s="20"/>
      <c r="CXB7" s="20"/>
      <c r="CXC7" s="20"/>
      <c r="CXD7" s="20"/>
      <c r="CXE7" s="20"/>
      <c r="CXF7" s="20"/>
      <c r="CXG7" s="20"/>
      <c r="CXH7" s="20"/>
      <c r="CXI7" s="20"/>
      <c r="CXJ7" s="20"/>
      <c r="CXK7" s="20"/>
      <c r="CXL7" s="20"/>
      <c r="CXM7" s="20"/>
      <c r="CXN7" s="20"/>
      <c r="CXO7" s="20"/>
      <c r="CXP7" s="20"/>
      <c r="CXQ7" s="20"/>
      <c r="CXR7" s="20"/>
      <c r="CXS7" s="20"/>
      <c r="CXT7" s="20"/>
      <c r="CXU7" s="20"/>
      <c r="CXV7" s="20"/>
      <c r="CXW7" s="20"/>
      <c r="CXX7" s="20"/>
      <c r="CXY7" s="20"/>
      <c r="CXZ7" s="20"/>
      <c r="CYA7" s="20"/>
      <c r="CYB7" s="20"/>
      <c r="CYC7" s="20"/>
      <c r="CYD7" s="20"/>
      <c r="CYE7" s="20"/>
      <c r="CYF7" s="20"/>
      <c r="CYG7" s="20"/>
      <c r="CYH7" s="20"/>
      <c r="CYI7" s="20"/>
      <c r="CYJ7" s="20"/>
      <c r="CYK7" s="20"/>
      <c r="CYL7" s="20"/>
      <c r="CYM7" s="20"/>
      <c r="CYN7" s="20"/>
      <c r="CYO7" s="20"/>
      <c r="CYP7" s="20"/>
      <c r="CYQ7" s="20"/>
      <c r="CYR7" s="20"/>
      <c r="CYS7" s="20"/>
      <c r="CYT7" s="20"/>
      <c r="CYU7" s="20"/>
      <c r="CYV7" s="20"/>
      <c r="CYW7" s="20"/>
      <c r="CYX7" s="20"/>
      <c r="CYY7" s="20"/>
      <c r="CYZ7" s="20"/>
      <c r="CZA7" s="20"/>
      <c r="CZB7" s="20"/>
      <c r="CZC7" s="20"/>
      <c r="CZD7" s="20"/>
      <c r="CZE7" s="20"/>
      <c r="CZF7" s="20"/>
      <c r="CZG7" s="20"/>
      <c r="CZH7" s="20"/>
      <c r="CZI7" s="20"/>
      <c r="CZJ7" s="20"/>
      <c r="CZK7" s="20"/>
      <c r="CZL7" s="20"/>
      <c r="CZM7" s="20"/>
      <c r="CZN7" s="20"/>
      <c r="CZO7" s="20"/>
      <c r="CZP7" s="20"/>
      <c r="CZQ7" s="20"/>
      <c r="CZR7" s="20"/>
      <c r="CZS7" s="20"/>
      <c r="CZT7" s="20"/>
      <c r="CZU7" s="20"/>
      <c r="CZV7" s="20"/>
      <c r="CZW7" s="20"/>
      <c r="CZX7" s="20"/>
      <c r="CZY7" s="20"/>
      <c r="CZZ7" s="20"/>
      <c r="DAA7" s="20"/>
      <c r="DAB7" s="20"/>
      <c r="DAC7" s="20"/>
      <c r="DAD7" s="20"/>
      <c r="DAE7" s="20"/>
      <c r="DAF7" s="20"/>
      <c r="DAG7" s="20"/>
      <c r="DAH7" s="20"/>
      <c r="DAI7" s="20"/>
      <c r="DAJ7" s="20"/>
      <c r="DAK7" s="20"/>
      <c r="DAL7" s="20"/>
      <c r="DAM7" s="20"/>
      <c r="DAN7" s="20"/>
      <c r="DAO7" s="20"/>
      <c r="DAP7" s="20"/>
      <c r="DAQ7" s="20"/>
      <c r="DAR7" s="20"/>
      <c r="DAS7" s="20"/>
      <c r="DAT7" s="20"/>
      <c r="DAU7" s="20"/>
      <c r="DAV7" s="20"/>
      <c r="DAW7" s="20"/>
      <c r="DAX7" s="20"/>
      <c r="DAY7" s="20"/>
      <c r="DAZ7" s="20"/>
      <c r="DBA7" s="20"/>
      <c r="DBB7" s="20"/>
      <c r="DBC7" s="20"/>
      <c r="DBD7" s="20"/>
      <c r="DBE7" s="20"/>
      <c r="DBF7" s="20"/>
      <c r="DBG7" s="20"/>
      <c r="DBH7" s="20"/>
      <c r="DBI7" s="20"/>
      <c r="DBJ7" s="20"/>
      <c r="DBK7" s="20"/>
      <c r="DBL7" s="20"/>
      <c r="DBM7" s="20"/>
      <c r="DBN7" s="20"/>
      <c r="DBO7" s="20"/>
      <c r="DBP7" s="20"/>
      <c r="DBQ7" s="20"/>
      <c r="DBR7" s="20"/>
      <c r="DBS7" s="20"/>
      <c r="DBT7" s="20"/>
      <c r="DBU7" s="20"/>
      <c r="DBV7" s="20"/>
      <c r="DBW7" s="20"/>
      <c r="DBX7" s="20"/>
      <c r="DBY7" s="20"/>
      <c r="DBZ7" s="20"/>
      <c r="DCA7" s="20"/>
      <c r="DCB7" s="20"/>
      <c r="DCC7" s="20"/>
      <c r="DCD7" s="20"/>
      <c r="DCE7" s="20"/>
      <c r="DCF7" s="20"/>
      <c r="DCG7" s="20"/>
      <c r="DCH7" s="20"/>
      <c r="DCI7" s="20"/>
      <c r="DCJ7" s="20"/>
      <c r="DCK7" s="20"/>
      <c r="DCL7" s="20"/>
      <c r="DCM7" s="20"/>
      <c r="DCN7" s="20"/>
      <c r="DCO7" s="20"/>
      <c r="DCP7" s="20"/>
      <c r="DCQ7" s="20"/>
      <c r="DCR7" s="20"/>
      <c r="DCS7" s="20"/>
      <c r="DCT7" s="20"/>
      <c r="DCU7" s="20"/>
      <c r="DCV7" s="20"/>
      <c r="DCW7" s="20"/>
      <c r="DCX7" s="20"/>
      <c r="DCY7" s="20"/>
      <c r="DCZ7" s="20"/>
      <c r="DDA7" s="20"/>
      <c r="DDB7" s="20"/>
      <c r="DDC7" s="20"/>
      <c r="DDD7" s="20"/>
      <c r="DDE7" s="20"/>
      <c r="DDF7" s="20"/>
      <c r="DDG7" s="20"/>
      <c r="DDH7" s="20"/>
      <c r="DDI7" s="20"/>
      <c r="DDJ7" s="20"/>
      <c r="DDK7" s="20"/>
      <c r="DDL7" s="20"/>
      <c r="DDM7" s="20"/>
      <c r="DDN7" s="20"/>
      <c r="DDO7" s="20"/>
      <c r="DDP7" s="20"/>
      <c r="DDQ7" s="20"/>
      <c r="DDR7" s="20"/>
      <c r="DDS7" s="20"/>
      <c r="DDT7" s="20"/>
      <c r="DDU7" s="20"/>
      <c r="DDV7" s="20"/>
      <c r="DDW7" s="20"/>
      <c r="DDX7" s="20"/>
      <c r="DDY7" s="20"/>
      <c r="DDZ7" s="20"/>
      <c r="DEA7" s="20"/>
      <c r="DEB7" s="20"/>
      <c r="DEC7" s="20"/>
      <c r="DED7" s="20"/>
      <c r="DEE7" s="20"/>
      <c r="DEF7" s="20"/>
      <c r="DEG7" s="20"/>
      <c r="DEH7" s="20"/>
      <c r="DEI7" s="20"/>
      <c r="DEJ7" s="20"/>
      <c r="DEK7" s="20"/>
      <c r="DEL7" s="20"/>
      <c r="DEM7" s="20"/>
      <c r="DEN7" s="20"/>
      <c r="DEO7" s="20"/>
      <c r="DEP7" s="20"/>
      <c r="DEQ7" s="20"/>
      <c r="DER7" s="20"/>
      <c r="DES7" s="20"/>
      <c r="DET7" s="20"/>
      <c r="DEU7" s="20"/>
      <c r="DEV7" s="20"/>
      <c r="DEW7" s="20"/>
      <c r="DEX7" s="20"/>
      <c r="DEY7" s="20"/>
      <c r="DEZ7" s="20"/>
      <c r="DFA7" s="20"/>
      <c r="DFB7" s="20"/>
      <c r="DFC7" s="20"/>
      <c r="DFD7" s="20"/>
      <c r="DFE7" s="20"/>
      <c r="DFF7" s="20"/>
      <c r="DFG7" s="20"/>
      <c r="DFH7" s="20"/>
      <c r="DFI7" s="20"/>
      <c r="DFJ7" s="20"/>
      <c r="DFK7" s="20"/>
      <c r="DFL7" s="20"/>
      <c r="DFM7" s="20"/>
      <c r="DFN7" s="20"/>
      <c r="DFO7" s="20"/>
      <c r="DFP7" s="20"/>
      <c r="DFQ7" s="20"/>
      <c r="DFR7" s="20"/>
      <c r="DFS7" s="20"/>
      <c r="DFT7" s="20"/>
      <c r="DFU7" s="20"/>
      <c r="DFV7" s="20"/>
      <c r="DFW7" s="20"/>
      <c r="DFX7" s="20"/>
      <c r="DFY7" s="20"/>
      <c r="DFZ7" s="20"/>
      <c r="DGA7" s="20"/>
      <c r="DGB7" s="20"/>
      <c r="DGC7" s="20"/>
      <c r="DGD7" s="20"/>
      <c r="DGE7" s="20"/>
      <c r="DGF7" s="20"/>
      <c r="DGG7" s="20"/>
      <c r="DGH7" s="20"/>
      <c r="DGI7" s="20"/>
      <c r="DGJ7" s="20"/>
      <c r="DGK7" s="20"/>
      <c r="DGL7" s="20"/>
      <c r="DGM7" s="20"/>
      <c r="DGN7" s="20"/>
      <c r="DGO7" s="20"/>
      <c r="DGP7" s="20"/>
      <c r="DGQ7" s="20"/>
      <c r="DGR7" s="20"/>
      <c r="DGS7" s="20"/>
      <c r="DGT7" s="20"/>
      <c r="DGU7" s="20"/>
      <c r="DGV7" s="20"/>
      <c r="DGW7" s="20"/>
      <c r="DGX7" s="20"/>
      <c r="DGY7" s="20"/>
      <c r="DGZ7" s="20"/>
      <c r="DHA7" s="20"/>
      <c r="DHB7" s="20"/>
      <c r="DHC7" s="20"/>
      <c r="DHD7" s="20"/>
      <c r="DHE7" s="20"/>
      <c r="DHF7" s="20"/>
      <c r="DHG7" s="20"/>
      <c r="DHH7" s="20"/>
      <c r="DHI7" s="20"/>
      <c r="DHJ7" s="20"/>
      <c r="DHK7" s="20"/>
      <c r="DHL7" s="20"/>
      <c r="DHM7" s="20"/>
      <c r="DHN7" s="20"/>
      <c r="DHO7" s="20"/>
      <c r="DHP7" s="20"/>
      <c r="DHQ7" s="20"/>
      <c r="DHR7" s="20"/>
      <c r="DHS7" s="20"/>
      <c r="DHT7" s="20"/>
      <c r="DHU7" s="20"/>
      <c r="DHV7" s="20"/>
      <c r="DHW7" s="20"/>
      <c r="DHX7" s="20"/>
      <c r="DHY7" s="20"/>
      <c r="DHZ7" s="20"/>
      <c r="DIA7" s="20"/>
      <c r="DIB7" s="20"/>
      <c r="DIC7" s="20"/>
      <c r="DID7" s="20"/>
      <c r="DIE7" s="20"/>
      <c r="DIF7" s="20"/>
      <c r="DIG7" s="20"/>
      <c r="DIH7" s="20"/>
      <c r="DII7" s="20"/>
      <c r="DIJ7" s="20"/>
      <c r="DIK7" s="20"/>
      <c r="DIL7" s="20"/>
      <c r="DIM7" s="20"/>
      <c r="DIN7" s="20"/>
      <c r="DIO7" s="20"/>
      <c r="DIP7" s="20"/>
      <c r="DIQ7" s="20"/>
      <c r="DIR7" s="20"/>
      <c r="DIS7" s="20"/>
      <c r="DIT7" s="20"/>
      <c r="DIU7" s="20"/>
      <c r="DIV7" s="20"/>
      <c r="DIW7" s="20"/>
      <c r="DIX7" s="20"/>
      <c r="DIY7" s="20"/>
      <c r="DIZ7" s="20"/>
      <c r="DJA7" s="20"/>
      <c r="DJB7" s="20"/>
      <c r="DJC7" s="20"/>
      <c r="DJD7" s="20"/>
      <c r="DJE7" s="20"/>
      <c r="DJF7" s="20"/>
      <c r="DJG7" s="20"/>
      <c r="DJH7" s="20"/>
      <c r="DJI7" s="20"/>
      <c r="DJJ7" s="20"/>
      <c r="DJK7" s="20"/>
      <c r="DJL7" s="20"/>
      <c r="DJM7" s="20"/>
      <c r="DJN7" s="20"/>
      <c r="DJO7" s="20"/>
      <c r="DJP7" s="20"/>
      <c r="DJQ7" s="20"/>
      <c r="DJR7" s="20"/>
      <c r="DJS7" s="20"/>
      <c r="DJT7" s="20"/>
      <c r="DJU7" s="20"/>
      <c r="DJV7" s="20"/>
      <c r="DJW7" s="20"/>
      <c r="DJX7" s="20"/>
      <c r="DJY7" s="20"/>
      <c r="DJZ7" s="20"/>
      <c r="DKA7" s="20"/>
      <c r="DKB7" s="20"/>
      <c r="DKC7" s="20"/>
      <c r="DKD7" s="20"/>
      <c r="DKE7" s="20"/>
      <c r="DKF7" s="20"/>
      <c r="DKG7" s="20"/>
      <c r="DKH7" s="20"/>
      <c r="DKI7" s="20"/>
      <c r="DKJ7" s="20"/>
      <c r="DKK7" s="20"/>
      <c r="DKL7" s="20"/>
      <c r="DKM7" s="20"/>
      <c r="DKN7" s="20"/>
      <c r="DKO7" s="20"/>
      <c r="DKP7" s="20"/>
      <c r="DKQ7" s="20"/>
      <c r="DKR7" s="20"/>
      <c r="DKS7" s="20"/>
      <c r="DKT7" s="20"/>
      <c r="DKU7" s="20"/>
      <c r="DKV7" s="20"/>
      <c r="DKW7" s="20"/>
      <c r="DKX7" s="20"/>
      <c r="DKY7" s="20"/>
      <c r="DKZ7" s="20"/>
      <c r="DLA7" s="20"/>
      <c r="DLB7" s="20"/>
      <c r="DLC7" s="20"/>
      <c r="DLD7" s="20"/>
      <c r="DLE7" s="20"/>
      <c r="DLF7" s="20"/>
      <c r="DLG7" s="20"/>
      <c r="DLH7" s="20"/>
      <c r="DLI7" s="20"/>
      <c r="DLJ7" s="20"/>
      <c r="DLK7" s="20"/>
      <c r="DLL7" s="20"/>
      <c r="DLM7" s="20"/>
      <c r="DLN7" s="20"/>
      <c r="DLO7" s="20"/>
      <c r="DLP7" s="20"/>
      <c r="DLQ7" s="20"/>
      <c r="DLR7" s="20"/>
      <c r="DLS7" s="20"/>
      <c r="DLT7" s="20"/>
      <c r="DLU7" s="20"/>
      <c r="DLV7" s="20"/>
      <c r="DLW7" s="20"/>
      <c r="DLX7" s="20"/>
      <c r="DLY7" s="20"/>
      <c r="DLZ7" s="20"/>
      <c r="DMA7" s="20"/>
      <c r="DMB7" s="20"/>
      <c r="DMC7" s="20"/>
      <c r="DMD7" s="20"/>
      <c r="DME7" s="20"/>
      <c r="DMF7" s="20"/>
      <c r="DMG7" s="20"/>
      <c r="DMH7" s="20"/>
      <c r="DMI7" s="20"/>
      <c r="DMJ7" s="20"/>
      <c r="DMK7" s="20"/>
      <c r="DML7" s="20"/>
      <c r="DMM7" s="20"/>
      <c r="DMN7" s="20"/>
      <c r="DMO7" s="20"/>
      <c r="DMP7" s="20"/>
      <c r="DMQ7" s="20"/>
      <c r="DMR7" s="20"/>
      <c r="DMS7" s="20"/>
      <c r="DMT7" s="20"/>
      <c r="DMU7" s="20"/>
      <c r="DMV7" s="20"/>
      <c r="DMW7" s="20"/>
      <c r="DMX7" s="20"/>
      <c r="DMY7" s="20"/>
      <c r="DMZ7" s="20"/>
      <c r="DNA7" s="20"/>
      <c r="DNB7" s="20"/>
      <c r="DNC7" s="20"/>
      <c r="DND7" s="20"/>
      <c r="DNE7" s="20"/>
      <c r="DNF7" s="20"/>
      <c r="DNG7" s="20"/>
      <c r="DNH7" s="20"/>
      <c r="DNI7" s="20"/>
      <c r="DNJ7" s="20"/>
      <c r="DNK7" s="20"/>
      <c r="DNL7" s="20"/>
      <c r="DNM7" s="20"/>
      <c r="DNN7" s="20"/>
      <c r="DNO7" s="20"/>
      <c r="DNP7" s="20"/>
      <c r="DNQ7" s="20"/>
      <c r="DNR7" s="20"/>
      <c r="DNS7" s="20"/>
      <c r="DNT7" s="20"/>
      <c r="DNU7" s="20"/>
      <c r="DNV7" s="20"/>
      <c r="DNW7" s="20"/>
      <c r="DNX7" s="20"/>
      <c r="DNY7" s="20"/>
      <c r="DNZ7" s="20"/>
      <c r="DOA7" s="20"/>
      <c r="DOB7" s="20"/>
      <c r="DOC7" s="20"/>
      <c r="DOD7" s="20"/>
      <c r="DOE7" s="20"/>
      <c r="DOF7" s="20"/>
      <c r="DOG7" s="20"/>
      <c r="DOH7" s="20"/>
      <c r="DOI7" s="20"/>
      <c r="DOJ7" s="20"/>
      <c r="DOK7" s="20"/>
      <c r="DOL7" s="20"/>
      <c r="DOM7" s="20"/>
      <c r="DON7" s="20"/>
      <c r="DOO7" s="20"/>
      <c r="DOP7" s="20"/>
      <c r="DOQ7" s="20"/>
      <c r="DOR7" s="20"/>
      <c r="DOS7" s="20"/>
      <c r="DOT7" s="20"/>
      <c r="DOU7" s="20"/>
      <c r="DOV7" s="20"/>
      <c r="DOW7" s="20"/>
      <c r="DOX7" s="20"/>
      <c r="DOY7" s="20"/>
      <c r="DOZ7" s="20"/>
      <c r="DPA7" s="20"/>
      <c r="DPB7" s="20"/>
      <c r="DPC7" s="20"/>
      <c r="DPD7" s="20"/>
      <c r="DPE7" s="20"/>
      <c r="DPF7" s="20"/>
      <c r="DPG7" s="20"/>
      <c r="DPH7" s="20"/>
      <c r="DPI7" s="20"/>
      <c r="DPJ7" s="20"/>
      <c r="DPK7" s="20"/>
      <c r="DPL7" s="20"/>
      <c r="DPM7" s="20"/>
      <c r="DPN7" s="20"/>
      <c r="DPO7" s="20"/>
      <c r="DPP7" s="20"/>
      <c r="DPQ7" s="20"/>
      <c r="DPR7" s="20"/>
      <c r="DPS7" s="20"/>
      <c r="DPT7" s="20"/>
      <c r="DPU7" s="20"/>
      <c r="DPV7" s="20"/>
      <c r="DPW7" s="20"/>
      <c r="DPX7" s="20"/>
      <c r="DPY7" s="20"/>
      <c r="DPZ7" s="20"/>
      <c r="DQA7" s="20"/>
      <c r="DQB7" s="20"/>
      <c r="DQC7" s="20"/>
      <c r="DQD7" s="20"/>
      <c r="DQE7" s="20"/>
      <c r="DQF7" s="20"/>
      <c r="DQG7" s="20"/>
      <c r="DQH7" s="20"/>
      <c r="DQI7" s="20"/>
      <c r="DQJ7" s="20"/>
      <c r="DQK7" s="20"/>
      <c r="DQL7" s="20"/>
      <c r="DQM7" s="20"/>
      <c r="DQN7" s="20"/>
      <c r="DQO7" s="20"/>
      <c r="DQP7" s="20"/>
      <c r="DQQ7" s="20"/>
      <c r="DQR7" s="20"/>
      <c r="DQS7" s="20"/>
      <c r="DQT7" s="20"/>
      <c r="DQU7" s="20"/>
      <c r="DQV7" s="20"/>
      <c r="DQW7" s="20"/>
      <c r="DQX7" s="20"/>
      <c r="DQY7" s="20"/>
      <c r="DQZ7" s="20"/>
      <c r="DRA7" s="20"/>
      <c r="DRB7" s="20"/>
      <c r="DRC7" s="20"/>
      <c r="DRD7" s="20"/>
      <c r="DRE7" s="20"/>
      <c r="DRF7" s="20"/>
      <c r="DRG7" s="20"/>
      <c r="DRH7" s="20"/>
      <c r="DRI7" s="20"/>
      <c r="DRJ7" s="20"/>
      <c r="DRK7" s="20"/>
      <c r="DRL7" s="20"/>
      <c r="DRM7" s="20"/>
      <c r="DRN7" s="20"/>
      <c r="DRO7" s="20"/>
      <c r="DRP7" s="20"/>
      <c r="DRQ7" s="20"/>
      <c r="DRR7" s="20"/>
      <c r="DRS7" s="20"/>
      <c r="DRT7" s="20"/>
      <c r="DRU7" s="20"/>
      <c r="DRV7" s="20"/>
      <c r="DRW7" s="20"/>
      <c r="DRX7" s="20"/>
      <c r="DRY7" s="20"/>
      <c r="DRZ7" s="20"/>
      <c r="DSA7" s="20"/>
      <c r="DSB7" s="20"/>
      <c r="DSC7" s="20"/>
      <c r="DSD7" s="20"/>
      <c r="DSE7" s="20"/>
      <c r="DSF7" s="20"/>
      <c r="DSG7" s="20"/>
      <c r="DSH7" s="20"/>
      <c r="DSI7" s="20"/>
      <c r="DSJ7" s="20"/>
      <c r="DSK7" s="20"/>
      <c r="DSL7" s="20"/>
      <c r="DSM7" s="20"/>
      <c r="DSN7" s="20"/>
      <c r="DSO7" s="20"/>
      <c r="DSP7" s="20"/>
      <c r="DSQ7" s="20"/>
      <c r="DSR7" s="20"/>
      <c r="DSS7" s="20"/>
      <c r="DST7" s="20"/>
      <c r="DSU7" s="20"/>
      <c r="DSV7" s="20"/>
      <c r="DSW7" s="20"/>
      <c r="DSX7" s="20"/>
      <c r="DSY7" s="20"/>
      <c r="DSZ7" s="20"/>
      <c r="DTA7" s="20"/>
      <c r="DTB7" s="20"/>
      <c r="DTC7" s="20"/>
      <c r="DTD7" s="20"/>
      <c r="DTE7" s="20"/>
      <c r="DTF7" s="20"/>
      <c r="DTG7" s="20"/>
      <c r="DTH7" s="20"/>
      <c r="DTI7" s="20"/>
      <c r="DTJ7" s="20"/>
      <c r="DTK7" s="20"/>
      <c r="DTL7" s="20"/>
      <c r="DTM7" s="20"/>
      <c r="DTN7" s="20"/>
      <c r="DTO7" s="20"/>
      <c r="DTP7" s="20"/>
      <c r="DTQ7" s="20"/>
      <c r="DTR7" s="20"/>
      <c r="DTS7" s="20"/>
      <c r="DTT7" s="20"/>
      <c r="DTU7" s="20"/>
      <c r="DTV7" s="20"/>
      <c r="DTW7" s="20"/>
      <c r="DTX7" s="20"/>
      <c r="DTY7" s="20"/>
      <c r="DTZ7" s="20"/>
      <c r="DUA7" s="20"/>
      <c r="DUB7" s="20"/>
      <c r="DUC7" s="20"/>
      <c r="DUD7" s="20"/>
      <c r="DUE7" s="20"/>
      <c r="DUF7" s="20"/>
      <c r="DUG7" s="20"/>
      <c r="DUH7" s="20"/>
      <c r="DUI7" s="20"/>
      <c r="DUJ7" s="20"/>
      <c r="DUK7" s="20"/>
      <c r="DUL7" s="20"/>
      <c r="DUM7" s="20"/>
      <c r="DUN7" s="20"/>
      <c r="DUO7" s="20"/>
      <c r="DUP7" s="20"/>
      <c r="DUQ7" s="20"/>
      <c r="DUR7" s="20"/>
      <c r="DUS7" s="20"/>
      <c r="DUT7" s="20"/>
      <c r="DUU7" s="20"/>
      <c r="DUV7" s="20"/>
      <c r="DUW7" s="20"/>
      <c r="DUX7" s="20"/>
      <c r="DUY7" s="20"/>
      <c r="DUZ7" s="20"/>
      <c r="DVA7" s="20"/>
      <c r="DVB7" s="20"/>
      <c r="DVC7" s="20"/>
      <c r="DVD7" s="20"/>
      <c r="DVE7" s="20"/>
      <c r="DVF7" s="20"/>
      <c r="DVG7" s="20"/>
      <c r="DVH7" s="20"/>
      <c r="DVI7" s="20"/>
      <c r="DVJ7" s="20"/>
      <c r="DVK7" s="20"/>
      <c r="DVL7" s="20"/>
      <c r="DVM7" s="20"/>
      <c r="DVN7" s="20"/>
      <c r="DVO7" s="20"/>
      <c r="DVP7" s="20"/>
      <c r="DVQ7" s="20"/>
      <c r="DVR7" s="20"/>
      <c r="DVS7" s="20"/>
      <c r="DVT7" s="20"/>
      <c r="DVU7" s="20"/>
      <c r="DVV7" s="20"/>
      <c r="DVW7" s="20"/>
      <c r="DVX7" s="20"/>
      <c r="DVY7" s="20"/>
      <c r="DVZ7" s="20"/>
      <c r="DWA7" s="20"/>
      <c r="DWB7" s="20"/>
      <c r="DWC7" s="20"/>
      <c r="DWD7" s="20"/>
      <c r="DWE7" s="20"/>
      <c r="DWF7" s="20"/>
      <c r="DWG7" s="20"/>
      <c r="DWH7" s="20"/>
      <c r="DWI7" s="20"/>
      <c r="DWJ7" s="20"/>
      <c r="DWK7" s="20"/>
      <c r="DWL7" s="20"/>
      <c r="DWM7" s="20"/>
      <c r="DWN7" s="20"/>
      <c r="DWO7" s="20"/>
      <c r="DWP7" s="20"/>
      <c r="DWQ7" s="20"/>
      <c r="DWR7" s="20"/>
      <c r="DWS7" s="20"/>
      <c r="DWT7" s="20"/>
      <c r="DWU7" s="20"/>
      <c r="DWV7" s="20"/>
      <c r="DWW7" s="20"/>
      <c r="DWX7" s="20"/>
      <c r="DWY7" s="20"/>
      <c r="DWZ7" s="20"/>
      <c r="DXA7" s="20"/>
      <c r="DXB7" s="20"/>
      <c r="DXC7" s="20"/>
      <c r="DXD7" s="20"/>
      <c r="DXE7" s="20"/>
      <c r="DXF7" s="20"/>
      <c r="DXG7" s="20"/>
      <c r="DXH7" s="20"/>
      <c r="DXI7" s="20"/>
      <c r="DXJ7" s="20"/>
      <c r="DXK7" s="20"/>
      <c r="DXL7" s="20"/>
      <c r="DXM7" s="20"/>
      <c r="DXN7" s="20"/>
      <c r="DXO7" s="20"/>
      <c r="DXP7" s="20"/>
      <c r="DXQ7" s="20"/>
      <c r="DXR7" s="20"/>
      <c r="DXS7" s="20"/>
      <c r="DXT7" s="20"/>
      <c r="DXU7" s="20"/>
      <c r="DXV7" s="20"/>
      <c r="DXW7" s="20"/>
      <c r="DXX7" s="20"/>
      <c r="DXY7" s="20"/>
      <c r="DXZ7" s="20"/>
      <c r="DYA7" s="20"/>
      <c r="DYB7" s="20"/>
      <c r="DYC7" s="20"/>
      <c r="DYD7" s="20"/>
      <c r="DYE7" s="20"/>
      <c r="DYF7" s="20"/>
      <c r="DYG7" s="20"/>
      <c r="DYH7" s="20"/>
      <c r="DYI7" s="20"/>
      <c r="DYJ7" s="20"/>
      <c r="DYK7" s="20"/>
      <c r="DYL7" s="20"/>
      <c r="DYM7" s="20"/>
      <c r="DYN7" s="20"/>
      <c r="DYO7" s="20"/>
      <c r="DYP7" s="20"/>
      <c r="DYQ7" s="20"/>
      <c r="DYR7" s="20"/>
      <c r="DYS7" s="20"/>
      <c r="DYT7" s="20"/>
      <c r="DYU7" s="20"/>
      <c r="DYV7" s="20"/>
      <c r="DYW7" s="20"/>
      <c r="DYX7" s="20"/>
      <c r="DYY7" s="20"/>
      <c r="DYZ7" s="20"/>
      <c r="DZA7" s="20"/>
      <c r="DZB7" s="20"/>
      <c r="DZC7" s="20"/>
      <c r="DZD7" s="20"/>
      <c r="DZE7" s="20"/>
      <c r="DZF7" s="20"/>
      <c r="DZG7" s="20"/>
      <c r="DZH7" s="20"/>
      <c r="DZI7" s="20"/>
      <c r="DZJ7" s="20"/>
      <c r="DZK7" s="20"/>
      <c r="DZL7" s="20"/>
      <c r="DZM7" s="20"/>
      <c r="DZN7" s="20"/>
      <c r="DZO7" s="20"/>
      <c r="DZP7" s="20"/>
      <c r="DZQ7" s="20"/>
      <c r="DZR7" s="20"/>
      <c r="DZS7" s="20"/>
      <c r="DZT7" s="20"/>
      <c r="DZU7" s="20"/>
      <c r="DZV7" s="20"/>
      <c r="DZW7" s="20"/>
      <c r="DZX7" s="20"/>
      <c r="DZY7" s="20"/>
      <c r="DZZ7" s="20"/>
      <c r="EAA7" s="20"/>
      <c r="EAB7" s="20"/>
      <c r="EAC7" s="20"/>
      <c r="EAD7" s="20"/>
      <c r="EAE7" s="20"/>
      <c r="EAF7" s="20"/>
      <c r="EAG7" s="20"/>
      <c r="EAH7" s="20"/>
      <c r="EAI7" s="20"/>
      <c r="EAJ7" s="20"/>
      <c r="EAK7" s="20"/>
      <c r="EAL7" s="20"/>
      <c r="EAM7" s="20"/>
      <c r="EAN7" s="20"/>
      <c r="EAO7" s="20"/>
      <c r="EAP7" s="20"/>
      <c r="EAQ7" s="20"/>
      <c r="EAR7" s="20"/>
      <c r="EAS7" s="20"/>
      <c r="EAT7" s="20"/>
      <c r="EAU7" s="20"/>
      <c r="EAV7" s="20"/>
      <c r="EAW7" s="20"/>
      <c r="EAX7" s="20"/>
      <c r="EAY7" s="20"/>
      <c r="EAZ7" s="20"/>
      <c r="EBA7" s="20"/>
      <c r="EBB7" s="20"/>
      <c r="EBC7" s="20"/>
      <c r="EBD7" s="20"/>
      <c r="EBE7" s="20"/>
      <c r="EBF7" s="20"/>
      <c r="EBG7" s="20"/>
      <c r="EBH7" s="20"/>
      <c r="EBI7" s="20"/>
      <c r="EBJ7" s="20"/>
      <c r="EBK7" s="20"/>
      <c r="EBL7" s="20"/>
      <c r="EBM7" s="20"/>
      <c r="EBN7" s="20"/>
      <c r="EBO7" s="20"/>
      <c r="EBP7" s="20"/>
      <c r="EBQ7" s="20"/>
      <c r="EBR7" s="20"/>
      <c r="EBS7" s="20"/>
      <c r="EBT7" s="20"/>
      <c r="EBU7" s="20"/>
      <c r="EBV7" s="20"/>
      <c r="EBW7" s="20"/>
      <c r="EBX7" s="20"/>
      <c r="EBY7" s="20"/>
      <c r="EBZ7" s="20"/>
      <c r="ECA7" s="20"/>
      <c r="ECB7" s="20"/>
      <c r="ECC7" s="20"/>
      <c r="ECD7" s="20"/>
      <c r="ECE7" s="20"/>
      <c r="ECF7" s="20"/>
      <c r="ECG7" s="20"/>
      <c r="ECH7" s="20"/>
      <c r="ECI7" s="20"/>
      <c r="ECJ7" s="20"/>
      <c r="ECK7" s="20"/>
      <c r="ECL7" s="20"/>
      <c r="ECM7" s="20"/>
      <c r="ECN7" s="20"/>
      <c r="ECO7" s="20"/>
      <c r="ECP7" s="20"/>
      <c r="ECQ7" s="20"/>
      <c r="ECR7" s="20"/>
      <c r="ECS7" s="20"/>
      <c r="ECT7" s="20"/>
      <c r="ECU7" s="20"/>
      <c r="ECV7" s="20"/>
      <c r="ECW7" s="20"/>
      <c r="ECX7" s="20"/>
      <c r="ECY7" s="20"/>
      <c r="ECZ7" s="20"/>
      <c r="EDA7" s="20"/>
      <c r="EDB7" s="20"/>
      <c r="EDC7" s="20"/>
      <c r="EDD7" s="20"/>
      <c r="EDE7" s="20"/>
      <c r="EDF7" s="20"/>
      <c r="EDG7" s="20"/>
      <c r="EDH7" s="20"/>
      <c r="EDI7" s="20"/>
      <c r="EDJ7" s="20"/>
      <c r="EDK7" s="20"/>
      <c r="EDL7" s="20"/>
      <c r="EDM7" s="20"/>
      <c r="EDN7" s="20"/>
      <c r="EDO7" s="20"/>
      <c r="EDP7" s="20"/>
      <c r="EDQ7" s="20"/>
      <c r="EDR7" s="20"/>
      <c r="EDS7" s="20"/>
      <c r="EDT7" s="20"/>
      <c r="EDU7" s="20"/>
      <c r="EDV7" s="20"/>
      <c r="EDW7" s="20"/>
      <c r="EDX7" s="20"/>
      <c r="EDY7" s="20"/>
      <c r="EDZ7" s="20"/>
      <c r="EEA7" s="20"/>
      <c r="EEB7" s="20"/>
      <c r="EEC7" s="20"/>
      <c r="EED7" s="20"/>
      <c r="EEE7" s="20"/>
      <c r="EEF7" s="20"/>
      <c r="EEG7" s="20"/>
      <c r="EEH7" s="20"/>
      <c r="EEI7" s="20"/>
      <c r="EEJ7" s="20"/>
      <c r="EEK7" s="20"/>
      <c r="EEL7" s="20"/>
      <c r="EEM7" s="20"/>
      <c r="EEN7" s="20"/>
      <c r="EEO7" s="20"/>
      <c r="EEP7" s="20"/>
      <c r="EEQ7" s="20"/>
      <c r="EER7" s="20"/>
      <c r="EES7" s="20"/>
      <c r="EET7" s="20"/>
      <c r="EEU7" s="20"/>
      <c r="EEV7" s="20"/>
      <c r="EEW7" s="20"/>
      <c r="EEX7" s="20"/>
      <c r="EEY7" s="20"/>
      <c r="EEZ7" s="20"/>
      <c r="EFA7" s="20"/>
      <c r="EFB7" s="20"/>
      <c r="EFC7" s="20"/>
      <c r="EFD7" s="20"/>
      <c r="EFE7" s="20"/>
      <c r="EFF7" s="20"/>
      <c r="EFG7" s="20"/>
      <c r="EFH7" s="20"/>
      <c r="EFI7" s="20"/>
      <c r="EFJ7" s="20"/>
      <c r="EFK7" s="20"/>
      <c r="EFL7" s="20"/>
      <c r="EFM7" s="20"/>
      <c r="EFN7" s="20"/>
      <c r="EFO7" s="20"/>
      <c r="EFP7" s="20"/>
      <c r="EFQ7" s="20"/>
      <c r="EFR7" s="20"/>
      <c r="EFS7" s="20"/>
      <c r="EFT7" s="20"/>
      <c r="EFU7" s="20"/>
      <c r="EFV7" s="20"/>
      <c r="EFW7" s="20"/>
      <c r="EFX7" s="20"/>
      <c r="EFY7" s="20"/>
      <c r="EFZ7" s="20"/>
      <c r="EGA7" s="20"/>
      <c r="EGB7" s="20"/>
      <c r="EGC7" s="20"/>
      <c r="EGD7" s="20"/>
      <c r="EGE7" s="20"/>
      <c r="EGF7" s="20"/>
      <c r="EGG7" s="20"/>
      <c r="EGH7" s="20"/>
      <c r="EGI7" s="20"/>
      <c r="EGJ7" s="20"/>
      <c r="EGK7" s="20"/>
      <c r="EGL7" s="20"/>
      <c r="EGM7" s="20"/>
      <c r="EGN7" s="20"/>
      <c r="EGO7" s="20"/>
      <c r="EGP7" s="20"/>
      <c r="EGQ7" s="20"/>
      <c r="EGR7" s="20"/>
      <c r="EGS7" s="20"/>
      <c r="EGT7" s="20"/>
      <c r="EGU7" s="20"/>
      <c r="EGV7" s="20"/>
      <c r="EGW7" s="20"/>
      <c r="EGX7" s="20"/>
      <c r="EGY7" s="20"/>
      <c r="EGZ7" s="20"/>
      <c r="EHA7" s="20"/>
      <c r="EHB7" s="20"/>
      <c r="EHC7" s="20"/>
      <c r="EHD7" s="20"/>
      <c r="EHE7" s="20"/>
      <c r="EHF7" s="20"/>
      <c r="EHG7" s="20"/>
      <c r="EHH7" s="20"/>
      <c r="EHI7" s="20"/>
      <c r="EHJ7" s="20"/>
      <c r="EHK7" s="20"/>
      <c r="EHL7" s="20"/>
      <c r="EHM7" s="20"/>
      <c r="EHN7" s="20"/>
      <c r="EHO7" s="20"/>
      <c r="EHP7" s="20"/>
      <c r="EHQ7" s="20"/>
      <c r="EHR7" s="20"/>
      <c r="EHS7" s="20"/>
      <c r="EHT7" s="20"/>
      <c r="EHU7" s="20"/>
      <c r="EHV7" s="20"/>
      <c r="EHW7" s="20"/>
      <c r="EHX7" s="20"/>
      <c r="EHY7" s="20"/>
      <c r="EHZ7" s="20"/>
      <c r="EIA7" s="20"/>
      <c r="EIB7" s="20"/>
      <c r="EIC7" s="20"/>
      <c r="EID7" s="20"/>
      <c r="EIE7" s="20"/>
      <c r="EIF7" s="20"/>
      <c r="EIG7" s="20"/>
      <c r="EIH7" s="20"/>
      <c r="EII7" s="20"/>
      <c r="EIJ7" s="20"/>
      <c r="EIK7" s="20"/>
      <c r="EIL7" s="20"/>
      <c r="EIM7" s="20"/>
      <c r="EIN7" s="20"/>
      <c r="EIO7" s="20"/>
      <c r="EIP7" s="20"/>
      <c r="EIQ7" s="20"/>
      <c r="EIR7" s="20"/>
      <c r="EIS7" s="20"/>
      <c r="EIT7" s="20"/>
      <c r="EIU7" s="20"/>
      <c r="EIV7" s="20"/>
      <c r="EIW7" s="20"/>
      <c r="EIX7" s="20"/>
      <c r="EIY7" s="20"/>
      <c r="EIZ7" s="20"/>
      <c r="EJA7" s="20"/>
      <c r="EJB7" s="20"/>
      <c r="EJC7" s="20"/>
      <c r="EJD7" s="20"/>
      <c r="EJE7" s="20"/>
      <c r="EJF7" s="20"/>
      <c r="EJG7" s="20"/>
      <c r="EJH7" s="20"/>
      <c r="EJI7" s="20"/>
      <c r="EJJ7" s="20"/>
      <c r="EJK7" s="20"/>
      <c r="EJL7" s="20"/>
      <c r="EJM7" s="20"/>
      <c r="EJN7" s="20"/>
      <c r="EJO7" s="20"/>
      <c r="EJP7" s="20"/>
      <c r="EJQ7" s="20"/>
      <c r="EJR7" s="20"/>
      <c r="EJS7" s="20"/>
      <c r="EJT7" s="20"/>
      <c r="EJU7" s="20"/>
      <c r="EJV7" s="20"/>
      <c r="EJW7" s="20"/>
      <c r="EJX7" s="20"/>
      <c r="EJY7" s="20"/>
      <c r="EJZ7" s="20"/>
      <c r="EKA7" s="20"/>
      <c r="EKB7" s="20"/>
      <c r="EKC7" s="20"/>
      <c r="EKD7" s="20"/>
      <c r="EKE7" s="20"/>
      <c r="EKF7" s="20"/>
      <c r="EKG7" s="20"/>
      <c r="EKH7" s="20"/>
      <c r="EKI7" s="20"/>
      <c r="EKJ7" s="20"/>
      <c r="EKK7" s="20"/>
      <c r="EKL7" s="20"/>
      <c r="EKM7" s="20"/>
      <c r="EKN7" s="20"/>
      <c r="EKO7" s="20"/>
      <c r="EKP7" s="20"/>
      <c r="EKQ7" s="20"/>
      <c r="EKR7" s="20"/>
      <c r="EKS7" s="20"/>
      <c r="EKT7" s="20"/>
      <c r="EKU7" s="20"/>
      <c r="EKV7" s="20"/>
      <c r="EKW7" s="20"/>
      <c r="EKX7" s="20"/>
      <c r="EKY7" s="20"/>
      <c r="EKZ7" s="20"/>
      <c r="ELA7" s="20"/>
      <c r="ELB7" s="20"/>
      <c r="ELC7" s="20"/>
      <c r="ELD7" s="20"/>
      <c r="ELE7" s="20"/>
      <c r="ELF7" s="20"/>
      <c r="ELG7" s="20"/>
      <c r="ELH7" s="20"/>
      <c r="ELI7" s="20"/>
      <c r="ELJ7" s="20"/>
      <c r="ELK7" s="20"/>
      <c r="ELL7" s="20"/>
      <c r="ELM7" s="20"/>
      <c r="ELN7" s="20"/>
      <c r="ELO7" s="20"/>
      <c r="ELP7" s="20"/>
      <c r="ELQ7" s="20"/>
      <c r="ELR7" s="20"/>
      <c r="ELS7" s="20"/>
      <c r="ELT7" s="20"/>
      <c r="ELU7" s="20"/>
      <c r="ELV7" s="20"/>
      <c r="ELW7" s="20"/>
      <c r="ELX7" s="20"/>
      <c r="ELY7" s="20"/>
      <c r="ELZ7" s="20"/>
      <c r="EMA7" s="20"/>
      <c r="EMB7" s="20"/>
      <c r="EMC7" s="20"/>
      <c r="EMD7" s="20"/>
      <c r="EME7" s="20"/>
      <c r="EMF7" s="20"/>
      <c r="EMG7" s="20"/>
      <c r="EMH7" s="20"/>
      <c r="EMI7" s="20"/>
      <c r="EMJ7" s="20"/>
      <c r="EMK7" s="20"/>
      <c r="EML7" s="20"/>
      <c r="EMM7" s="20"/>
      <c r="EMN7" s="20"/>
      <c r="EMO7" s="20"/>
      <c r="EMP7" s="20"/>
      <c r="EMQ7" s="20"/>
      <c r="EMR7" s="20"/>
      <c r="EMS7" s="20"/>
      <c r="EMT7" s="20"/>
      <c r="EMU7" s="20"/>
      <c r="EMV7" s="20"/>
      <c r="EMW7" s="20"/>
      <c r="EMX7" s="20"/>
      <c r="EMY7" s="20"/>
      <c r="EMZ7" s="20"/>
      <c r="ENA7" s="20"/>
      <c r="ENB7" s="20"/>
      <c r="ENC7" s="20"/>
      <c r="END7" s="20"/>
      <c r="ENE7" s="20"/>
      <c r="ENF7" s="20"/>
      <c r="ENG7" s="20"/>
      <c r="ENH7" s="20"/>
      <c r="ENI7" s="20"/>
      <c r="ENJ7" s="20"/>
      <c r="ENK7" s="20"/>
      <c r="ENL7" s="20"/>
      <c r="ENM7" s="20"/>
      <c r="ENN7" s="20"/>
      <c r="ENO7" s="20"/>
      <c r="ENP7" s="20"/>
      <c r="ENQ7" s="20"/>
      <c r="ENR7" s="20"/>
      <c r="ENS7" s="20"/>
      <c r="ENT7" s="20"/>
      <c r="ENU7" s="20"/>
      <c r="ENV7" s="20"/>
      <c r="ENW7" s="20"/>
      <c r="ENX7" s="20"/>
      <c r="ENY7" s="20"/>
      <c r="ENZ7" s="20"/>
      <c r="EOA7" s="20"/>
      <c r="EOB7" s="20"/>
      <c r="EOC7" s="20"/>
      <c r="EOD7" s="20"/>
      <c r="EOE7" s="20"/>
      <c r="EOF7" s="20"/>
      <c r="EOG7" s="20"/>
      <c r="EOH7" s="20"/>
      <c r="EOI7" s="20"/>
      <c r="EOJ7" s="20"/>
      <c r="EOK7" s="20"/>
      <c r="EOL7" s="20"/>
      <c r="EOM7" s="20"/>
      <c r="EON7" s="20"/>
      <c r="EOO7" s="20"/>
      <c r="EOP7" s="20"/>
      <c r="EOQ7" s="20"/>
      <c r="EOR7" s="20"/>
      <c r="EOS7" s="20"/>
      <c r="EOT7" s="20"/>
      <c r="EOU7" s="20"/>
      <c r="EOV7" s="20"/>
      <c r="EOW7" s="20"/>
      <c r="EOX7" s="20"/>
      <c r="EOY7" s="20"/>
      <c r="EOZ7" s="20"/>
      <c r="EPA7" s="20"/>
      <c r="EPB7" s="20"/>
      <c r="EPC7" s="20"/>
      <c r="EPD7" s="20"/>
      <c r="EPE7" s="20"/>
      <c r="EPF7" s="20"/>
      <c r="EPG7" s="20"/>
      <c r="EPH7" s="20"/>
      <c r="EPI7" s="20"/>
      <c r="EPJ7" s="20"/>
      <c r="EPK7" s="20"/>
      <c r="EPL7" s="20"/>
      <c r="EPM7" s="20"/>
      <c r="EPN7" s="20"/>
      <c r="EPO7" s="20"/>
      <c r="EPP7" s="20"/>
      <c r="EPQ7" s="20"/>
      <c r="EPR7" s="20"/>
      <c r="EPS7" s="20"/>
      <c r="EPT7" s="20"/>
      <c r="EPU7" s="20"/>
      <c r="EPV7" s="20"/>
      <c r="EPW7" s="20"/>
      <c r="EPX7" s="20"/>
      <c r="EPY7" s="20"/>
      <c r="EPZ7" s="20"/>
      <c r="EQA7" s="20"/>
      <c r="EQB7" s="20"/>
      <c r="EQC7" s="20"/>
      <c r="EQD7" s="20"/>
      <c r="EQE7" s="20"/>
      <c r="EQF7" s="20"/>
      <c r="EQG7" s="20"/>
      <c r="EQH7" s="20"/>
      <c r="EQI7" s="20"/>
      <c r="EQJ7" s="20"/>
      <c r="EQK7" s="20"/>
      <c r="EQL7" s="20"/>
      <c r="EQM7" s="20"/>
      <c r="EQN7" s="20"/>
      <c r="EQO7" s="20"/>
      <c r="EQP7" s="20"/>
      <c r="EQQ7" s="20"/>
      <c r="EQR7" s="20"/>
      <c r="EQS7" s="20"/>
      <c r="EQT7" s="20"/>
      <c r="EQU7" s="20"/>
      <c r="EQV7" s="20"/>
      <c r="EQW7" s="20"/>
      <c r="EQX7" s="20"/>
      <c r="EQY7" s="20"/>
      <c r="EQZ7" s="20"/>
      <c r="ERA7" s="20"/>
      <c r="ERB7" s="20"/>
      <c r="ERC7" s="20"/>
      <c r="ERD7" s="20"/>
      <c r="ERE7" s="20"/>
      <c r="ERF7" s="20"/>
      <c r="ERG7" s="20"/>
      <c r="ERH7" s="20"/>
      <c r="ERI7" s="20"/>
      <c r="ERJ7" s="20"/>
      <c r="ERK7" s="20"/>
      <c r="ERL7" s="20"/>
      <c r="ERM7" s="20"/>
      <c r="ERN7" s="20"/>
      <c r="ERO7" s="20"/>
      <c r="ERP7" s="20"/>
      <c r="ERQ7" s="20"/>
      <c r="ERR7" s="20"/>
      <c r="ERS7" s="20"/>
      <c r="ERT7" s="20"/>
      <c r="ERU7" s="20"/>
      <c r="ERV7" s="20"/>
      <c r="ERW7" s="20"/>
      <c r="ERX7" s="20"/>
      <c r="ERY7" s="20"/>
      <c r="ERZ7" s="20"/>
      <c r="ESA7" s="20"/>
      <c r="ESB7" s="20"/>
      <c r="ESC7" s="20"/>
      <c r="ESD7" s="20"/>
      <c r="ESE7" s="20"/>
      <c r="ESF7" s="20"/>
      <c r="ESG7" s="20"/>
      <c r="ESH7" s="20"/>
      <c r="ESI7" s="20"/>
      <c r="ESJ7" s="20"/>
      <c r="ESK7" s="20"/>
      <c r="ESL7" s="20"/>
      <c r="ESM7" s="20"/>
      <c r="ESN7" s="20"/>
      <c r="ESO7" s="20"/>
      <c r="ESP7" s="20"/>
      <c r="ESQ7" s="20"/>
      <c r="ESR7" s="20"/>
      <c r="ESS7" s="20"/>
      <c r="EST7" s="20"/>
      <c r="ESU7" s="20"/>
      <c r="ESV7" s="20"/>
      <c r="ESW7" s="20"/>
      <c r="ESX7" s="20"/>
      <c r="ESY7" s="20"/>
      <c r="ESZ7" s="20"/>
      <c r="ETA7" s="20"/>
      <c r="ETB7" s="20"/>
      <c r="ETC7" s="20"/>
      <c r="ETD7" s="20"/>
      <c r="ETE7" s="20"/>
      <c r="ETF7" s="20"/>
      <c r="ETG7" s="20"/>
      <c r="ETH7" s="20"/>
      <c r="ETI7" s="20"/>
      <c r="ETJ7" s="20"/>
      <c r="ETK7" s="20"/>
      <c r="ETL7" s="20"/>
      <c r="ETM7" s="20"/>
      <c r="ETN7" s="20"/>
      <c r="ETO7" s="20"/>
      <c r="ETP7" s="20"/>
      <c r="ETQ7" s="20"/>
      <c r="ETR7" s="20"/>
      <c r="ETS7" s="20"/>
      <c r="ETT7" s="20"/>
      <c r="ETU7" s="20"/>
      <c r="ETV7" s="20"/>
      <c r="ETW7" s="20"/>
      <c r="ETX7" s="20"/>
      <c r="ETY7" s="20"/>
      <c r="ETZ7" s="20"/>
      <c r="EUA7" s="20"/>
      <c r="EUB7" s="20"/>
      <c r="EUC7" s="20"/>
      <c r="EUD7" s="20"/>
      <c r="EUE7" s="20"/>
      <c r="EUF7" s="20"/>
      <c r="EUG7" s="20"/>
      <c r="EUH7" s="20"/>
      <c r="EUI7" s="20"/>
      <c r="EUJ7" s="20"/>
      <c r="EUK7" s="20"/>
      <c r="EUL7" s="20"/>
      <c r="EUM7" s="20"/>
      <c r="EUN7" s="20"/>
      <c r="EUO7" s="20"/>
      <c r="EUP7" s="20"/>
      <c r="EUQ7" s="20"/>
      <c r="EUR7" s="20"/>
      <c r="EUS7" s="20"/>
      <c r="EUT7" s="20"/>
      <c r="EUU7" s="20"/>
      <c r="EUV7" s="20"/>
      <c r="EUW7" s="20"/>
      <c r="EUX7" s="20"/>
      <c r="EUY7" s="20"/>
      <c r="EUZ7" s="20"/>
      <c r="EVA7" s="20"/>
      <c r="EVB7" s="20"/>
      <c r="EVC7" s="20"/>
      <c r="EVD7" s="20"/>
      <c r="EVE7" s="20"/>
      <c r="EVF7" s="20"/>
      <c r="EVG7" s="20"/>
      <c r="EVH7" s="20"/>
      <c r="EVI7" s="20"/>
      <c r="EVJ7" s="20"/>
      <c r="EVK7" s="20"/>
      <c r="EVL7" s="20"/>
      <c r="EVM7" s="20"/>
      <c r="EVN7" s="20"/>
      <c r="EVO7" s="20"/>
      <c r="EVP7" s="20"/>
      <c r="EVQ7" s="20"/>
      <c r="EVR7" s="20"/>
      <c r="EVS7" s="20"/>
      <c r="EVT7" s="20"/>
      <c r="EVU7" s="20"/>
      <c r="EVV7" s="20"/>
      <c r="EVW7" s="20"/>
      <c r="EVX7" s="20"/>
      <c r="EVY7" s="20"/>
      <c r="EVZ7" s="20"/>
      <c r="EWA7" s="20"/>
      <c r="EWB7" s="20"/>
      <c r="EWC7" s="20"/>
      <c r="EWD7" s="20"/>
      <c r="EWE7" s="20"/>
      <c r="EWF7" s="20"/>
      <c r="EWG7" s="20"/>
      <c r="EWH7" s="20"/>
      <c r="EWI7" s="20"/>
      <c r="EWJ7" s="20"/>
      <c r="EWK7" s="20"/>
      <c r="EWL7" s="20"/>
      <c r="EWM7" s="20"/>
      <c r="EWN7" s="20"/>
      <c r="EWO7" s="20"/>
      <c r="EWP7" s="20"/>
      <c r="EWQ7" s="20"/>
      <c r="EWR7" s="20"/>
      <c r="EWS7" s="20"/>
      <c r="EWT7" s="20"/>
      <c r="EWU7" s="20"/>
      <c r="EWV7" s="20"/>
      <c r="EWW7" s="20"/>
      <c r="EWX7" s="20"/>
      <c r="EWY7" s="20"/>
      <c r="EWZ7" s="20"/>
      <c r="EXA7" s="20"/>
      <c r="EXB7" s="20"/>
      <c r="EXC7" s="20"/>
      <c r="EXD7" s="20"/>
      <c r="EXE7" s="20"/>
      <c r="EXF7" s="20"/>
      <c r="EXG7" s="20"/>
      <c r="EXH7" s="20"/>
      <c r="EXI7" s="20"/>
      <c r="EXJ7" s="20"/>
      <c r="EXK7" s="20"/>
      <c r="EXL7" s="20"/>
      <c r="EXM7" s="20"/>
      <c r="EXN7" s="20"/>
      <c r="EXO7" s="20"/>
      <c r="EXP7" s="20"/>
      <c r="EXQ7" s="20"/>
      <c r="EXR7" s="20"/>
      <c r="EXS7" s="20"/>
      <c r="EXT7" s="20"/>
      <c r="EXU7" s="20"/>
      <c r="EXV7" s="20"/>
      <c r="EXW7" s="20"/>
      <c r="EXX7" s="20"/>
      <c r="EXY7" s="20"/>
      <c r="EXZ7" s="20"/>
      <c r="EYA7" s="20"/>
      <c r="EYB7" s="20"/>
      <c r="EYC7" s="20"/>
      <c r="EYD7" s="20"/>
      <c r="EYE7" s="20"/>
      <c r="EYF7" s="20"/>
      <c r="EYG7" s="20"/>
      <c r="EYH7" s="20"/>
      <c r="EYI7" s="20"/>
      <c r="EYJ7" s="20"/>
      <c r="EYK7" s="20"/>
      <c r="EYL7" s="20"/>
      <c r="EYM7" s="20"/>
      <c r="EYN7" s="20"/>
      <c r="EYO7" s="20"/>
      <c r="EYP7" s="20"/>
      <c r="EYQ7" s="20"/>
      <c r="EYR7" s="20"/>
      <c r="EYS7" s="20"/>
      <c r="EYT7" s="20"/>
      <c r="EYU7" s="20"/>
      <c r="EYV7" s="20"/>
      <c r="EYW7" s="20"/>
      <c r="EYX7" s="20"/>
      <c r="EYY7" s="20"/>
      <c r="EYZ7" s="20"/>
      <c r="EZA7" s="20"/>
      <c r="EZB7" s="20"/>
      <c r="EZC7" s="20"/>
      <c r="EZD7" s="20"/>
      <c r="EZE7" s="20"/>
      <c r="EZF7" s="20"/>
      <c r="EZG7" s="20"/>
      <c r="EZH7" s="20"/>
      <c r="EZI7" s="20"/>
      <c r="EZJ7" s="20"/>
      <c r="EZK7" s="20"/>
      <c r="EZL7" s="20"/>
      <c r="EZM7" s="20"/>
      <c r="EZN7" s="20"/>
      <c r="EZO7" s="20"/>
      <c r="EZP7" s="20"/>
      <c r="EZQ7" s="20"/>
      <c r="EZR7" s="20"/>
      <c r="EZS7" s="20"/>
      <c r="EZT7" s="20"/>
      <c r="EZU7" s="20"/>
      <c r="EZV7" s="20"/>
      <c r="EZW7" s="20"/>
      <c r="EZX7" s="20"/>
      <c r="EZY7" s="20"/>
      <c r="EZZ7" s="20"/>
      <c r="FAA7" s="20"/>
      <c r="FAB7" s="20"/>
      <c r="FAC7" s="20"/>
      <c r="FAD7" s="20"/>
      <c r="FAE7" s="20"/>
      <c r="FAF7" s="20"/>
      <c r="FAG7" s="20"/>
      <c r="FAH7" s="20"/>
      <c r="FAI7" s="20"/>
      <c r="FAJ7" s="20"/>
      <c r="FAK7" s="20"/>
      <c r="FAL7" s="20"/>
      <c r="FAM7" s="20"/>
      <c r="FAN7" s="20"/>
      <c r="FAO7" s="20"/>
      <c r="FAP7" s="20"/>
      <c r="FAQ7" s="20"/>
      <c r="FAR7" s="20"/>
      <c r="FAS7" s="20"/>
      <c r="FAT7" s="20"/>
      <c r="FAU7" s="20"/>
      <c r="FAV7" s="20"/>
      <c r="FAW7" s="20"/>
      <c r="FAX7" s="20"/>
      <c r="FAY7" s="20"/>
      <c r="FAZ7" s="20"/>
      <c r="FBA7" s="20"/>
      <c r="FBB7" s="20"/>
      <c r="FBC7" s="20"/>
      <c r="FBD7" s="20"/>
      <c r="FBE7" s="20"/>
      <c r="FBF7" s="20"/>
      <c r="FBG7" s="20"/>
      <c r="FBH7" s="20"/>
      <c r="FBI7" s="20"/>
      <c r="FBJ7" s="20"/>
      <c r="FBK7" s="20"/>
      <c r="FBL7" s="20"/>
      <c r="FBM7" s="20"/>
      <c r="FBN7" s="20"/>
      <c r="FBO7" s="20"/>
      <c r="FBP7" s="20"/>
      <c r="FBQ7" s="20"/>
      <c r="FBR7" s="20"/>
      <c r="FBS7" s="20"/>
      <c r="FBT7" s="20"/>
      <c r="FBU7" s="20"/>
      <c r="FBV7" s="20"/>
      <c r="FBW7" s="20"/>
      <c r="FBX7" s="20"/>
      <c r="FBY7" s="20"/>
      <c r="FBZ7" s="20"/>
      <c r="FCA7" s="20"/>
      <c r="FCB7" s="20"/>
      <c r="FCC7" s="20"/>
      <c r="FCD7" s="20"/>
      <c r="FCE7" s="20"/>
      <c r="FCF7" s="20"/>
      <c r="FCG7" s="20"/>
      <c r="FCH7" s="20"/>
      <c r="FCI7" s="20"/>
      <c r="FCJ7" s="20"/>
      <c r="FCK7" s="20"/>
      <c r="FCL7" s="20"/>
      <c r="FCM7" s="20"/>
      <c r="FCN7" s="20"/>
      <c r="FCO7" s="20"/>
      <c r="FCP7" s="20"/>
      <c r="FCQ7" s="20"/>
      <c r="FCR7" s="20"/>
      <c r="FCS7" s="20"/>
      <c r="FCT7" s="20"/>
      <c r="FCU7" s="20"/>
      <c r="FCV7" s="20"/>
      <c r="FCW7" s="20"/>
      <c r="FCX7" s="20"/>
      <c r="FCY7" s="20"/>
      <c r="FCZ7" s="20"/>
      <c r="FDA7" s="20"/>
      <c r="FDB7" s="20"/>
      <c r="FDC7" s="20"/>
      <c r="FDD7" s="20"/>
      <c r="FDE7" s="20"/>
      <c r="FDF7" s="20"/>
      <c r="FDG7" s="20"/>
      <c r="FDH7" s="20"/>
      <c r="FDI7" s="20"/>
      <c r="FDJ7" s="20"/>
      <c r="FDK7" s="20"/>
      <c r="FDL7" s="20"/>
      <c r="FDM7" s="20"/>
      <c r="FDN7" s="20"/>
      <c r="FDO7" s="20"/>
      <c r="FDP7" s="20"/>
      <c r="FDQ7" s="20"/>
      <c r="FDR7" s="20"/>
      <c r="FDS7" s="20"/>
      <c r="FDT7" s="20"/>
      <c r="FDU7" s="20"/>
      <c r="FDV7" s="20"/>
      <c r="FDW7" s="20"/>
      <c r="FDX7" s="20"/>
      <c r="FDY7" s="20"/>
      <c r="FDZ7" s="20"/>
      <c r="FEA7" s="20"/>
      <c r="FEB7" s="20"/>
      <c r="FEC7" s="20"/>
      <c r="FED7" s="20"/>
      <c r="FEE7" s="20"/>
      <c r="FEF7" s="20"/>
      <c r="FEG7" s="20"/>
      <c r="FEH7" s="20"/>
      <c r="FEI7" s="20"/>
      <c r="FEJ7" s="20"/>
      <c r="FEK7" s="20"/>
      <c r="FEL7" s="20"/>
      <c r="FEM7" s="20"/>
      <c r="FEN7" s="20"/>
      <c r="FEO7" s="20"/>
      <c r="FEP7" s="20"/>
      <c r="FEQ7" s="20"/>
      <c r="FER7" s="20"/>
      <c r="FES7" s="20"/>
      <c r="FET7" s="20"/>
      <c r="FEU7" s="20"/>
      <c r="FEV7" s="20"/>
      <c r="FEW7" s="20"/>
      <c r="FEX7" s="20"/>
      <c r="FEY7" s="20"/>
      <c r="FEZ7" s="20"/>
      <c r="FFA7" s="20"/>
      <c r="FFB7" s="20"/>
      <c r="FFC7" s="20"/>
      <c r="FFD7" s="20"/>
      <c r="FFE7" s="20"/>
      <c r="FFF7" s="20"/>
      <c r="FFG7" s="20"/>
      <c r="FFH7" s="20"/>
      <c r="FFI7" s="20"/>
      <c r="FFJ7" s="20"/>
      <c r="FFK7" s="20"/>
      <c r="FFL7" s="20"/>
      <c r="FFM7" s="20"/>
      <c r="FFN7" s="20"/>
      <c r="FFO7" s="20"/>
      <c r="FFP7" s="20"/>
      <c r="FFQ7" s="20"/>
      <c r="FFR7" s="20"/>
      <c r="FFS7" s="20"/>
      <c r="FFT7" s="20"/>
      <c r="FFU7" s="20"/>
      <c r="FFV7" s="20"/>
      <c r="FFW7" s="20"/>
      <c r="FFX7" s="20"/>
      <c r="FFY7" s="20"/>
      <c r="FFZ7" s="20"/>
      <c r="FGA7" s="20"/>
      <c r="FGB7" s="20"/>
      <c r="FGC7" s="20"/>
      <c r="FGD7" s="20"/>
      <c r="FGE7" s="20"/>
      <c r="FGF7" s="20"/>
      <c r="FGG7" s="20"/>
      <c r="FGH7" s="20"/>
      <c r="FGI7" s="20"/>
      <c r="FGJ7" s="20"/>
      <c r="FGK7" s="20"/>
      <c r="FGL7" s="20"/>
      <c r="FGM7" s="20"/>
      <c r="FGN7" s="20"/>
      <c r="FGO7" s="20"/>
      <c r="FGP7" s="20"/>
      <c r="FGQ7" s="20"/>
      <c r="FGR7" s="20"/>
      <c r="FGS7" s="20"/>
      <c r="FGT7" s="20"/>
      <c r="FGU7" s="20"/>
      <c r="FGV7" s="20"/>
      <c r="FGW7" s="20"/>
      <c r="FGX7" s="20"/>
      <c r="FGY7" s="20"/>
      <c r="FGZ7" s="20"/>
      <c r="FHA7" s="20"/>
      <c r="FHB7" s="20"/>
      <c r="FHC7" s="20"/>
      <c r="FHD7" s="20"/>
      <c r="FHE7" s="20"/>
      <c r="FHF7" s="20"/>
      <c r="FHG7" s="20"/>
      <c r="FHH7" s="20"/>
      <c r="FHI7" s="20"/>
      <c r="FHJ7" s="20"/>
      <c r="FHK7" s="20"/>
      <c r="FHL7" s="20"/>
      <c r="FHM7" s="20"/>
      <c r="FHN7" s="20"/>
      <c r="FHO7" s="20"/>
      <c r="FHP7" s="20"/>
      <c r="FHQ7" s="20"/>
      <c r="FHR7" s="20"/>
      <c r="FHS7" s="20"/>
      <c r="FHT7" s="20"/>
      <c r="FHU7" s="20"/>
      <c r="FHV7" s="20"/>
      <c r="FHW7" s="20"/>
      <c r="FHX7" s="20"/>
      <c r="FHY7" s="20"/>
      <c r="FHZ7" s="20"/>
      <c r="FIA7" s="20"/>
      <c r="FIB7" s="20"/>
      <c r="FIC7" s="20"/>
      <c r="FID7" s="20"/>
      <c r="FIE7" s="20"/>
      <c r="FIF7" s="20"/>
      <c r="FIG7" s="20"/>
      <c r="FIH7" s="20"/>
      <c r="FII7" s="20"/>
      <c r="FIJ7" s="20"/>
      <c r="FIK7" s="20"/>
      <c r="FIL7" s="20"/>
      <c r="FIM7" s="20"/>
      <c r="FIN7" s="20"/>
      <c r="FIO7" s="20"/>
      <c r="FIP7" s="20"/>
      <c r="FIQ7" s="20"/>
      <c r="FIR7" s="20"/>
      <c r="FIS7" s="20"/>
      <c r="FIT7" s="20"/>
      <c r="FIU7" s="20"/>
      <c r="FIV7" s="20"/>
      <c r="FIW7" s="20"/>
      <c r="FIX7" s="20"/>
      <c r="FIY7" s="20"/>
      <c r="FIZ7" s="20"/>
      <c r="FJA7" s="20"/>
      <c r="FJB7" s="20"/>
      <c r="FJC7" s="20"/>
      <c r="FJD7" s="20"/>
      <c r="FJE7" s="20"/>
      <c r="FJF7" s="20"/>
      <c r="FJG7" s="20"/>
      <c r="FJH7" s="20"/>
      <c r="FJI7" s="20"/>
      <c r="FJJ7" s="20"/>
      <c r="FJK7" s="20"/>
      <c r="FJL7" s="20"/>
      <c r="FJM7" s="20"/>
      <c r="FJN7" s="20"/>
      <c r="FJO7" s="20"/>
      <c r="FJP7" s="20"/>
      <c r="FJQ7" s="20"/>
      <c r="FJR7" s="20"/>
      <c r="FJS7" s="20"/>
      <c r="FJT7" s="20"/>
      <c r="FJU7" s="20"/>
      <c r="FJV7" s="20"/>
      <c r="FJW7" s="20"/>
      <c r="FJX7" s="20"/>
      <c r="FJY7" s="20"/>
      <c r="FJZ7" s="20"/>
      <c r="FKA7" s="20"/>
      <c r="FKB7" s="20"/>
      <c r="FKC7" s="20"/>
      <c r="FKD7" s="20"/>
      <c r="FKE7" s="20"/>
      <c r="FKF7" s="20"/>
      <c r="FKG7" s="20"/>
      <c r="FKH7" s="20"/>
      <c r="FKI7" s="20"/>
      <c r="FKJ7" s="20"/>
      <c r="FKK7" s="20"/>
      <c r="FKL7" s="20"/>
      <c r="FKM7" s="20"/>
      <c r="FKN7" s="20"/>
      <c r="FKO7" s="20"/>
      <c r="FKP7" s="20"/>
      <c r="FKQ7" s="20"/>
      <c r="FKR7" s="20"/>
      <c r="FKS7" s="20"/>
      <c r="FKT7" s="20"/>
      <c r="FKU7" s="20"/>
      <c r="FKV7" s="20"/>
      <c r="FKW7" s="20"/>
      <c r="FKX7" s="20"/>
      <c r="FKY7" s="20"/>
      <c r="FKZ7" s="20"/>
      <c r="FLA7" s="20"/>
      <c r="FLB7" s="20"/>
      <c r="FLC7" s="20"/>
      <c r="FLD7" s="20"/>
      <c r="FLE7" s="20"/>
      <c r="FLF7" s="20"/>
      <c r="FLG7" s="20"/>
      <c r="FLH7" s="20"/>
      <c r="FLI7" s="20"/>
      <c r="FLJ7" s="20"/>
      <c r="FLK7" s="20"/>
      <c r="FLL7" s="20"/>
      <c r="FLM7" s="20"/>
      <c r="FLN7" s="20"/>
      <c r="FLO7" s="20"/>
      <c r="FLP7" s="20"/>
      <c r="FLQ7" s="20"/>
      <c r="FLR7" s="20"/>
      <c r="FLS7" s="20"/>
      <c r="FLT7" s="20"/>
      <c r="FLU7" s="20"/>
      <c r="FLV7" s="20"/>
      <c r="FLW7" s="20"/>
      <c r="FLX7" s="20"/>
      <c r="FLY7" s="20"/>
      <c r="FLZ7" s="20"/>
      <c r="FMA7" s="20"/>
      <c r="FMB7" s="20"/>
      <c r="FMC7" s="20"/>
      <c r="FMD7" s="20"/>
      <c r="FME7" s="20"/>
      <c r="FMF7" s="20"/>
      <c r="FMG7" s="20"/>
      <c r="FMH7" s="20"/>
      <c r="FMI7" s="20"/>
      <c r="FMJ7" s="20"/>
      <c r="FMK7" s="20"/>
      <c r="FML7" s="20"/>
      <c r="FMM7" s="20"/>
      <c r="FMN7" s="20"/>
      <c r="FMO7" s="20"/>
      <c r="FMP7" s="20"/>
      <c r="FMQ7" s="20"/>
      <c r="FMR7" s="20"/>
      <c r="FMS7" s="20"/>
      <c r="FMT7" s="20"/>
      <c r="FMU7" s="20"/>
      <c r="FMV7" s="20"/>
      <c r="FMW7" s="20"/>
      <c r="FMX7" s="20"/>
      <c r="FMY7" s="20"/>
      <c r="FMZ7" s="20"/>
      <c r="FNA7" s="20"/>
      <c r="FNB7" s="20"/>
      <c r="FNC7" s="20"/>
      <c r="FND7" s="20"/>
      <c r="FNE7" s="20"/>
      <c r="FNF7" s="20"/>
      <c r="FNG7" s="20"/>
      <c r="FNH7" s="20"/>
      <c r="FNI7" s="20"/>
      <c r="FNJ7" s="20"/>
      <c r="FNK7" s="20"/>
      <c r="FNL7" s="20"/>
      <c r="FNM7" s="20"/>
      <c r="FNN7" s="20"/>
      <c r="FNO7" s="20"/>
      <c r="FNP7" s="20"/>
      <c r="FNQ7" s="20"/>
      <c r="FNR7" s="20"/>
      <c r="FNS7" s="20"/>
      <c r="FNT7" s="20"/>
      <c r="FNU7" s="20"/>
      <c r="FNV7" s="20"/>
      <c r="FNW7" s="20"/>
      <c r="FNX7" s="20"/>
      <c r="FNY7" s="20"/>
      <c r="FNZ7" s="20"/>
      <c r="FOA7" s="20"/>
      <c r="FOB7" s="20"/>
      <c r="FOC7" s="20"/>
      <c r="FOD7" s="20"/>
      <c r="FOE7" s="20"/>
      <c r="FOF7" s="20"/>
      <c r="FOG7" s="20"/>
      <c r="FOH7" s="20"/>
      <c r="FOI7" s="20"/>
      <c r="FOJ7" s="20"/>
      <c r="FOK7" s="20"/>
      <c r="FOL7" s="20"/>
      <c r="FOM7" s="20"/>
      <c r="FON7" s="20"/>
      <c r="FOO7" s="20"/>
      <c r="FOP7" s="20"/>
      <c r="FOQ7" s="20"/>
      <c r="FOR7" s="20"/>
      <c r="FOS7" s="20"/>
      <c r="FOT7" s="20"/>
      <c r="FOU7" s="20"/>
      <c r="FOV7" s="20"/>
      <c r="FOW7" s="20"/>
      <c r="FOX7" s="20"/>
      <c r="FOY7" s="20"/>
      <c r="FOZ7" s="20"/>
      <c r="FPA7" s="20"/>
      <c r="FPB7" s="20"/>
      <c r="FPC7" s="20"/>
      <c r="FPD7" s="20"/>
      <c r="FPE7" s="20"/>
      <c r="FPF7" s="20"/>
      <c r="FPG7" s="20"/>
      <c r="FPH7" s="20"/>
      <c r="FPI7" s="20"/>
      <c r="FPJ7" s="20"/>
      <c r="FPK7" s="20"/>
      <c r="FPL7" s="20"/>
      <c r="FPM7" s="20"/>
      <c r="FPN7" s="20"/>
      <c r="FPO7" s="20"/>
      <c r="FPP7" s="20"/>
      <c r="FPQ7" s="20"/>
      <c r="FPR7" s="20"/>
      <c r="FPS7" s="20"/>
      <c r="FPT7" s="20"/>
      <c r="FPU7" s="20"/>
      <c r="FPV7" s="20"/>
      <c r="FPW7" s="20"/>
      <c r="FPX7" s="20"/>
      <c r="FPY7" s="20"/>
      <c r="FPZ7" s="20"/>
      <c r="FQA7" s="20"/>
      <c r="FQB7" s="20"/>
      <c r="FQC7" s="20"/>
      <c r="FQD7" s="20"/>
      <c r="FQE7" s="20"/>
      <c r="FQF7" s="20"/>
      <c r="FQG7" s="20"/>
      <c r="FQH7" s="20"/>
      <c r="FQI7" s="20"/>
      <c r="FQJ7" s="20"/>
      <c r="FQK7" s="20"/>
      <c r="FQL7" s="20"/>
      <c r="FQM7" s="20"/>
      <c r="FQN7" s="20"/>
      <c r="FQO7" s="20"/>
      <c r="FQP7" s="20"/>
      <c r="FQQ7" s="20"/>
      <c r="FQR7" s="20"/>
      <c r="FQS7" s="20"/>
      <c r="FQT7" s="20"/>
      <c r="FQU7" s="20"/>
      <c r="FQV7" s="20"/>
      <c r="FQW7" s="20"/>
      <c r="FQX7" s="20"/>
      <c r="FQY7" s="20"/>
      <c r="FQZ7" s="20"/>
      <c r="FRA7" s="20"/>
      <c r="FRB7" s="20"/>
      <c r="FRC7" s="20"/>
      <c r="FRD7" s="20"/>
      <c r="FRE7" s="20"/>
      <c r="FRF7" s="20"/>
      <c r="FRG7" s="20"/>
      <c r="FRH7" s="20"/>
      <c r="FRI7" s="20"/>
      <c r="FRJ7" s="20"/>
      <c r="FRK7" s="20"/>
      <c r="FRL7" s="20"/>
      <c r="FRM7" s="20"/>
      <c r="FRN7" s="20"/>
      <c r="FRO7" s="20"/>
      <c r="FRP7" s="20"/>
      <c r="FRQ7" s="20"/>
      <c r="FRR7" s="20"/>
      <c r="FRS7" s="20"/>
      <c r="FRT7" s="20"/>
      <c r="FRU7" s="20"/>
      <c r="FRV7" s="20"/>
      <c r="FRW7" s="20"/>
      <c r="FRX7" s="20"/>
      <c r="FRY7" s="20"/>
      <c r="FRZ7" s="20"/>
      <c r="FSA7" s="20"/>
      <c r="FSB7" s="20"/>
      <c r="FSC7" s="20"/>
      <c r="FSD7" s="20"/>
      <c r="FSE7" s="20"/>
      <c r="FSF7" s="20"/>
      <c r="FSG7" s="20"/>
      <c r="FSH7" s="20"/>
      <c r="FSI7" s="20"/>
      <c r="FSJ7" s="20"/>
      <c r="FSK7" s="20"/>
      <c r="FSL7" s="20"/>
      <c r="FSM7" s="20"/>
      <c r="FSN7" s="20"/>
      <c r="FSO7" s="20"/>
      <c r="FSP7" s="20"/>
      <c r="FSQ7" s="20"/>
      <c r="FSR7" s="20"/>
      <c r="FSS7" s="20"/>
      <c r="FST7" s="20"/>
      <c r="FSU7" s="20"/>
      <c r="FSV7" s="20"/>
      <c r="FSW7" s="20"/>
      <c r="FSX7" s="20"/>
      <c r="FSY7" s="20"/>
      <c r="FSZ7" s="20"/>
      <c r="FTA7" s="20"/>
      <c r="FTB7" s="20"/>
      <c r="FTC7" s="20"/>
      <c r="FTD7" s="20"/>
      <c r="FTE7" s="20"/>
      <c r="FTF7" s="20"/>
      <c r="FTG7" s="20"/>
      <c r="FTH7" s="20"/>
      <c r="FTI7" s="20"/>
      <c r="FTJ7" s="20"/>
      <c r="FTK7" s="20"/>
      <c r="FTL7" s="20"/>
      <c r="FTM7" s="20"/>
      <c r="FTN7" s="20"/>
      <c r="FTO7" s="20"/>
      <c r="FTP7" s="20"/>
      <c r="FTQ7" s="20"/>
      <c r="FTR7" s="20"/>
      <c r="FTS7" s="20"/>
      <c r="FTT7" s="20"/>
      <c r="FTU7" s="20"/>
      <c r="FTV7" s="20"/>
      <c r="FTW7" s="20"/>
      <c r="FTX7" s="20"/>
      <c r="FTY7" s="20"/>
      <c r="FTZ7" s="20"/>
      <c r="FUA7" s="20"/>
      <c r="FUB7" s="20"/>
      <c r="FUC7" s="20"/>
      <c r="FUD7" s="20"/>
      <c r="FUE7" s="20"/>
      <c r="FUF7" s="20"/>
      <c r="FUG7" s="20"/>
      <c r="FUH7" s="20"/>
      <c r="FUI7" s="20"/>
      <c r="FUJ7" s="20"/>
      <c r="FUK7" s="20"/>
      <c r="FUL7" s="20"/>
      <c r="FUM7" s="20"/>
      <c r="FUN7" s="20"/>
      <c r="FUO7" s="20"/>
      <c r="FUP7" s="20"/>
      <c r="FUQ7" s="20"/>
      <c r="FUR7" s="20"/>
      <c r="FUS7" s="20"/>
      <c r="FUT7" s="20"/>
      <c r="FUU7" s="20"/>
      <c r="FUV7" s="20"/>
      <c r="FUW7" s="20"/>
      <c r="FUX7" s="20"/>
      <c r="FUY7" s="20"/>
      <c r="FUZ7" s="20"/>
      <c r="FVA7" s="20"/>
      <c r="FVB7" s="20"/>
      <c r="FVC7" s="20"/>
      <c r="FVD7" s="20"/>
      <c r="FVE7" s="20"/>
      <c r="FVF7" s="20"/>
      <c r="FVG7" s="20"/>
      <c r="FVH7" s="20"/>
      <c r="FVI7" s="20"/>
      <c r="FVJ7" s="20"/>
      <c r="FVK7" s="20"/>
      <c r="FVL7" s="20"/>
      <c r="FVM7" s="20"/>
      <c r="FVN7" s="20"/>
      <c r="FVO7" s="20"/>
      <c r="FVP7" s="20"/>
      <c r="FVQ7" s="20"/>
      <c r="FVR7" s="20"/>
      <c r="FVS7" s="20"/>
      <c r="FVT7" s="20"/>
      <c r="FVU7" s="20"/>
      <c r="FVV7" s="20"/>
      <c r="FVW7" s="20"/>
      <c r="FVX7" s="20"/>
      <c r="FVY7" s="20"/>
      <c r="FVZ7" s="20"/>
      <c r="FWA7" s="20"/>
      <c r="FWB7" s="20"/>
      <c r="FWC7" s="20"/>
      <c r="FWD7" s="20"/>
      <c r="FWE7" s="20"/>
      <c r="FWF7" s="20"/>
      <c r="FWG7" s="20"/>
      <c r="FWH7" s="20"/>
      <c r="FWI7" s="20"/>
      <c r="FWJ7" s="20"/>
      <c r="FWK7" s="20"/>
      <c r="FWL7" s="20"/>
      <c r="FWM7" s="20"/>
      <c r="FWN7" s="20"/>
      <c r="FWO7" s="20"/>
      <c r="FWP7" s="20"/>
      <c r="FWQ7" s="20"/>
      <c r="FWR7" s="20"/>
      <c r="FWS7" s="20"/>
      <c r="FWT7" s="20"/>
      <c r="FWU7" s="20"/>
      <c r="FWV7" s="20"/>
      <c r="FWW7" s="20"/>
      <c r="FWX7" s="20"/>
      <c r="FWY7" s="20"/>
      <c r="FWZ7" s="20"/>
      <c r="FXA7" s="20"/>
      <c r="FXB7" s="20"/>
      <c r="FXC7" s="20"/>
      <c r="FXD7" s="20"/>
      <c r="FXE7" s="20"/>
      <c r="FXF7" s="20"/>
      <c r="FXG7" s="20"/>
      <c r="FXH7" s="20"/>
      <c r="FXI7" s="20"/>
      <c r="FXJ7" s="20"/>
      <c r="FXK7" s="20"/>
      <c r="FXL7" s="20"/>
      <c r="FXM7" s="20"/>
      <c r="FXN7" s="20"/>
      <c r="FXO7" s="20"/>
      <c r="FXP7" s="20"/>
      <c r="FXQ7" s="20"/>
      <c r="FXR7" s="20"/>
      <c r="FXS7" s="20"/>
      <c r="FXT7" s="20"/>
      <c r="FXU7" s="20"/>
      <c r="FXV7" s="20"/>
      <c r="FXW7" s="20"/>
      <c r="FXX7" s="20"/>
      <c r="FXY7" s="20"/>
      <c r="FXZ7" s="20"/>
      <c r="FYA7" s="20"/>
      <c r="FYB7" s="20"/>
      <c r="FYC7" s="20"/>
      <c r="FYD7" s="20"/>
      <c r="FYE7" s="20"/>
      <c r="FYF7" s="20"/>
      <c r="FYG7" s="20"/>
      <c r="FYH7" s="20"/>
      <c r="FYI7" s="20"/>
      <c r="FYJ7" s="20"/>
      <c r="FYK7" s="20"/>
      <c r="FYL7" s="20"/>
      <c r="FYM7" s="20"/>
      <c r="FYN7" s="20"/>
      <c r="FYO7" s="20"/>
      <c r="FYP7" s="20"/>
      <c r="FYQ7" s="20"/>
      <c r="FYR7" s="20"/>
      <c r="FYS7" s="20"/>
      <c r="FYT7" s="20"/>
      <c r="FYU7" s="20"/>
      <c r="FYV7" s="20"/>
      <c r="FYW7" s="20"/>
      <c r="FYX7" s="20"/>
      <c r="FYY7" s="20"/>
      <c r="FYZ7" s="20"/>
      <c r="FZA7" s="20"/>
      <c r="FZB7" s="20"/>
      <c r="FZC7" s="20"/>
      <c r="FZD7" s="20"/>
      <c r="FZE7" s="20"/>
      <c r="FZF7" s="20"/>
      <c r="FZG7" s="20"/>
      <c r="FZH7" s="20"/>
      <c r="FZI7" s="20"/>
      <c r="FZJ7" s="20"/>
      <c r="FZK7" s="20"/>
      <c r="FZL7" s="20"/>
      <c r="FZM7" s="20"/>
      <c r="FZN7" s="20"/>
      <c r="FZO7" s="20"/>
      <c r="FZP7" s="20"/>
      <c r="FZQ7" s="20"/>
      <c r="FZR7" s="20"/>
      <c r="FZS7" s="20"/>
      <c r="FZT7" s="20"/>
      <c r="FZU7" s="20"/>
      <c r="FZV7" s="20"/>
      <c r="FZW7" s="20"/>
      <c r="FZX7" s="20"/>
      <c r="FZY7" s="20"/>
      <c r="FZZ7" s="20"/>
      <c r="GAA7" s="20"/>
      <c r="GAB7" s="20"/>
      <c r="GAC7" s="20"/>
      <c r="GAD7" s="20"/>
      <c r="GAE7" s="20"/>
      <c r="GAF7" s="20"/>
      <c r="GAG7" s="20"/>
      <c r="GAH7" s="20"/>
      <c r="GAI7" s="20"/>
      <c r="GAJ7" s="20"/>
      <c r="GAK7" s="20"/>
      <c r="GAL7" s="20"/>
      <c r="GAM7" s="20"/>
      <c r="GAN7" s="20"/>
      <c r="GAO7" s="20"/>
      <c r="GAP7" s="20"/>
      <c r="GAQ7" s="20"/>
      <c r="GAR7" s="20"/>
      <c r="GAS7" s="20"/>
      <c r="GAT7" s="20"/>
      <c r="GAU7" s="20"/>
      <c r="GAV7" s="20"/>
      <c r="GAW7" s="20"/>
      <c r="GAX7" s="20"/>
      <c r="GAY7" s="20"/>
      <c r="GAZ7" s="20"/>
      <c r="GBA7" s="20"/>
      <c r="GBB7" s="20"/>
      <c r="GBC7" s="20"/>
      <c r="GBD7" s="20"/>
      <c r="GBE7" s="20"/>
      <c r="GBF7" s="20"/>
      <c r="GBG7" s="20"/>
      <c r="GBH7" s="20"/>
      <c r="GBI7" s="20"/>
      <c r="GBJ7" s="20"/>
      <c r="GBK7" s="20"/>
      <c r="GBL7" s="20"/>
      <c r="GBM7" s="20"/>
      <c r="GBN7" s="20"/>
      <c r="GBO7" s="20"/>
      <c r="GBP7" s="20"/>
      <c r="GBQ7" s="20"/>
      <c r="GBR7" s="20"/>
      <c r="GBS7" s="20"/>
      <c r="GBT7" s="20"/>
      <c r="GBU7" s="20"/>
      <c r="GBV7" s="20"/>
      <c r="GBW7" s="20"/>
      <c r="GBX7" s="20"/>
      <c r="GBY7" s="20"/>
      <c r="GBZ7" s="20"/>
      <c r="GCA7" s="20"/>
      <c r="GCB7" s="20"/>
      <c r="GCC7" s="20"/>
      <c r="GCD7" s="20"/>
      <c r="GCE7" s="20"/>
      <c r="GCF7" s="20"/>
      <c r="GCG7" s="20"/>
      <c r="GCH7" s="20"/>
      <c r="GCI7" s="20"/>
      <c r="GCJ7" s="20"/>
      <c r="GCK7" s="20"/>
      <c r="GCL7" s="20"/>
      <c r="GCM7" s="20"/>
      <c r="GCN7" s="20"/>
      <c r="GCO7" s="20"/>
      <c r="GCP7" s="20"/>
      <c r="GCQ7" s="20"/>
      <c r="GCR7" s="20"/>
      <c r="GCS7" s="20"/>
      <c r="GCT7" s="20"/>
      <c r="GCU7" s="20"/>
      <c r="GCV7" s="20"/>
      <c r="GCW7" s="20"/>
      <c r="GCX7" s="20"/>
      <c r="GCY7" s="20"/>
      <c r="GCZ7" s="20"/>
      <c r="GDA7" s="20"/>
      <c r="GDB7" s="20"/>
      <c r="GDC7" s="20"/>
      <c r="GDD7" s="20"/>
      <c r="GDE7" s="20"/>
      <c r="GDF7" s="20"/>
      <c r="GDG7" s="20"/>
      <c r="GDH7" s="20"/>
      <c r="GDI7" s="20"/>
      <c r="GDJ7" s="20"/>
      <c r="GDK7" s="20"/>
      <c r="GDL7" s="20"/>
      <c r="GDM7" s="20"/>
      <c r="GDN7" s="20"/>
      <c r="GDO7" s="20"/>
      <c r="GDP7" s="20"/>
      <c r="GDQ7" s="20"/>
      <c r="GDR7" s="20"/>
      <c r="GDS7" s="20"/>
      <c r="GDT7" s="20"/>
      <c r="GDU7" s="20"/>
      <c r="GDV7" s="20"/>
      <c r="GDW7" s="20"/>
      <c r="GDX7" s="20"/>
      <c r="GDY7" s="20"/>
      <c r="GDZ7" s="20"/>
      <c r="GEA7" s="20"/>
      <c r="GEB7" s="20"/>
      <c r="GEC7" s="20"/>
      <c r="GED7" s="20"/>
      <c r="GEE7" s="20"/>
      <c r="GEF7" s="20"/>
      <c r="GEG7" s="20"/>
      <c r="GEH7" s="20"/>
      <c r="GEI7" s="20"/>
      <c r="GEJ7" s="20"/>
      <c r="GEK7" s="20"/>
      <c r="GEL7" s="20"/>
      <c r="GEM7" s="20"/>
      <c r="GEN7" s="20"/>
      <c r="GEO7" s="20"/>
      <c r="GEP7" s="20"/>
      <c r="GEQ7" s="20"/>
      <c r="GER7" s="20"/>
      <c r="GES7" s="20"/>
      <c r="GET7" s="20"/>
      <c r="GEU7" s="20"/>
      <c r="GEV7" s="20"/>
      <c r="GEW7" s="20"/>
      <c r="GEX7" s="20"/>
      <c r="GEY7" s="20"/>
      <c r="GEZ7" s="20"/>
      <c r="GFA7" s="20"/>
      <c r="GFB7" s="20"/>
      <c r="GFC7" s="20"/>
      <c r="GFD7" s="20"/>
      <c r="GFE7" s="20"/>
      <c r="GFF7" s="20"/>
      <c r="GFG7" s="20"/>
      <c r="GFH7" s="20"/>
      <c r="GFI7" s="20"/>
      <c r="GFJ7" s="20"/>
      <c r="GFK7" s="20"/>
      <c r="GFL7" s="20"/>
      <c r="GFM7" s="20"/>
      <c r="GFN7" s="20"/>
      <c r="GFO7" s="20"/>
      <c r="GFP7" s="20"/>
      <c r="GFQ7" s="20"/>
      <c r="GFR7" s="20"/>
      <c r="GFS7" s="20"/>
      <c r="GFT7" s="20"/>
      <c r="GFU7" s="20"/>
      <c r="GFV7" s="20"/>
      <c r="GFW7" s="20"/>
      <c r="GFX7" s="20"/>
      <c r="GFY7" s="20"/>
      <c r="GFZ7" s="20"/>
      <c r="GGA7" s="20"/>
      <c r="GGB7" s="20"/>
      <c r="GGC7" s="20"/>
      <c r="GGD7" s="20"/>
      <c r="GGE7" s="20"/>
      <c r="GGF7" s="20"/>
      <c r="GGG7" s="20"/>
      <c r="GGH7" s="20"/>
      <c r="GGI7" s="20"/>
      <c r="GGJ7" s="20"/>
      <c r="GGK7" s="20"/>
      <c r="GGL7" s="20"/>
      <c r="GGM7" s="20"/>
      <c r="GGN7" s="20"/>
      <c r="GGO7" s="20"/>
      <c r="GGP7" s="20"/>
      <c r="GGQ7" s="20"/>
      <c r="GGR7" s="20"/>
      <c r="GGS7" s="20"/>
      <c r="GGT7" s="20"/>
      <c r="GGU7" s="20"/>
      <c r="GGV7" s="20"/>
      <c r="GGW7" s="20"/>
      <c r="GGX7" s="20"/>
      <c r="GGY7" s="20"/>
      <c r="GGZ7" s="20"/>
      <c r="GHA7" s="20"/>
      <c r="GHB7" s="20"/>
      <c r="GHC7" s="20"/>
      <c r="GHD7" s="20"/>
      <c r="GHE7" s="20"/>
      <c r="GHF7" s="20"/>
      <c r="GHG7" s="20"/>
      <c r="GHH7" s="20"/>
      <c r="GHI7" s="20"/>
      <c r="GHJ7" s="20"/>
      <c r="GHK7" s="20"/>
      <c r="GHL7" s="20"/>
      <c r="GHM7" s="20"/>
      <c r="GHN7" s="20"/>
      <c r="GHO7" s="20"/>
      <c r="GHP7" s="20"/>
      <c r="GHQ7" s="20"/>
      <c r="GHR7" s="20"/>
      <c r="GHS7" s="20"/>
      <c r="GHT7" s="20"/>
      <c r="GHU7" s="20"/>
      <c r="GHV7" s="20"/>
      <c r="GHW7" s="20"/>
      <c r="GHX7" s="20"/>
      <c r="GHY7" s="20"/>
      <c r="GHZ7" s="20"/>
      <c r="GIA7" s="20"/>
      <c r="GIB7" s="20"/>
      <c r="GIC7" s="20"/>
      <c r="GID7" s="20"/>
      <c r="GIE7" s="20"/>
      <c r="GIF7" s="20"/>
      <c r="GIG7" s="20"/>
      <c r="GIH7" s="20"/>
      <c r="GII7" s="20"/>
      <c r="GIJ7" s="20"/>
      <c r="GIK7" s="20"/>
      <c r="GIL7" s="20"/>
      <c r="GIM7" s="20"/>
      <c r="GIN7" s="20"/>
      <c r="GIO7" s="20"/>
      <c r="GIP7" s="20"/>
      <c r="GIQ7" s="20"/>
      <c r="GIR7" s="20"/>
      <c r="GIS7" s="20"/>
      <c r="GIT7" s="20"/>
      <c r="GIU7" s="20"/>
      <c r="GIV7" s="20"/>
      <c r="GIW7" s="20"/>
      <c r="GIX7" s="20"/>
      <c r="GIY7" s="20"/>
      <c r="GIZ7" s="20"/>
      <c r="GJA7" s="20"/>
      <c r="GJB7" s="20"/>
      <c r="GJC7" s="20"/>
      <c r="GJD7" s="20"/>
      <c r="GJE7" s="20"/>
      <c r="GJF7" s="20"/>
      <c r="GJG7" s="20"/>
      <c r="GJH7" s="20"/>
      <c r="GJI7" s="20"/>
      <c r="GJJ7" s="20"/>
      <c r="GJK7" s="20"/>
      <c r="GJL7" s="20"/>
      <c r="GJM7" s="20"/>
      <c r="GJN7" s="20"/>
      <c r="GJO7" s="20"/>
      <c r="GJP7" s="20"/>
      <c r="GJQ7" s="20"/>
      <c r="GJR7" s="20"/>
      <c r="GJS7" s="20"/>
      <c r="GJT7" s="20"/>
      <c r="GJU7" s="20"/>
      <c r="GJV7" s="20"/>
      <c r="GJW7" s="20"/>
      <c r="GJX7" s="20"/>
      <c r="GJY7" s="20"/>
      <c r="GJZ7" s="20"/>
      <c r="GKA7" s="20"/>
      <c r="GKB7" s="20"/>
      <c r="GKC7" s="20"/>
      <c r="GKD7" s="20"/>
      <c r="GKE7" s="20"/>
      <c r="GKF7" s="20"/>
      <c r="GKG7" s="20"/>
      <c r="GKH7" s="20"/>
      <c r="GKI7" s="20"/>
      <c r="GKJ7" s="20"/>
      <c r="GKK7" s="20"/>
      <c r="GKL7" s="20"/>
      <c r="GKM7" s="20"/>
      <c r="GKN7" s="20"/>
      <c r="GKO7" s="20"/>
      <c r="GKP7" s="20"/>
      <c r="GKQ7" s="20"/>
      <c r="GKR7" s="20"/>
      <c r="GKS7" s="20"/>
      <c r="GKT7" s="20"/>
      <c r="GKU7" s="20"/>
      <c r="GKV7" s="20"/>
      <c r="GKW7" s="20"/>
      <c r="GKX7" s="20"/>
      <c r="GKY7" s="20"/>
      <c r="GKZ7" s="20"/>
      <c r="GLA7" s="20"/>
      <c r="GLB7" s="20"/>
      <c r="GLC7" s="20"/>
      <c r="GLD7" s="20"/>
      <c r="GLE7" s="20"/>
      <c r="GLF7" s="20"/>
      <c r="GLG7" s="20"/>
      <c r="GLH7" s="20"/>
      <c r="GLI7" s="20"/>
      <c r="GLJ7" s="20"/>
      <c r="GLK7" s="20"/>
      <c r="GLL7" s="20"/>
      <c r="GLM7" s="20"/>
      <c r="GLN7" s="20"/>
      <c r="GLO7" s="20"/>
      <c r="GLP7" s="20"/>
      <c r="GLQ7" s="20"/>
      <c r="GLR7" s="20"/>
      <c r="GLS7" s="20"/>
      <c r="GLT7" s="20"/>
      <c r="GLU7" s="20"/>
      <c r="GLV7" s="20"/>
      <c r="GLW7" s="20"/>
      <c r="GLX7" s="20"/>
      <c r="GLY7" s="20"/>
      <c r="GLZ7" s="20"/>
      <c r="GMA7" s="20"/>
      <c r="GMB7" s="20"/>
      <c r="GMC7" s="20"/>
      <c r="GMD7" s="20"/>
      <c r="GME7" s="20"/>
      <c r="GMF7" s="20"/>
      <c r="GMG7" s="20"/>
      <c r="GMH7" s="20"/>
      <c r="GMI7" s="20"/>
      <c r="GMJ7" s="20"/>
      <c r="GMK7" s="20"/>
      <c r="GML7" s="20"/>
      <c r="GMM7" s="20"/>
      <c r="GMN7" s="20"/>
      <c r="GMO7" s="20"/>
      <c r="GMP7" s="20"/>
      <c r="GMQ7" s="20"/>
      <c r="GMR7" s="20"/>
      <c r="GMS7" s="20"/>
      <c r="GMT7" s="20"/>
      <c r="GMU7" s="20"/>
      <c r="GMV7" s="20"/>
      <c r="GMW7" s="20"/>
      <c r="GMX7" s="20"/>
      <c r="GMY7" s="20"/>
      <c r="GMZ7" s="20"/>
      <c r="GNA7" s="20"/>
      <c r="GNB7" s="20"/>
      <c r="GNC7" s="20"/>
      <c r="GND7" s="20"/>
      <c r="GNE7" s="20"/>
      <c r="GNF7" s="20"/>
      <c r="GNG7" s="20"/>
      <c r="GNH7" s="20"/>
      <c r="GNI7" s="20"/>
      <c r="GNJ7" s="20"/>
      <c r="GNK7" s="20"/>
      <c r="GNL7" s="20"/>
      <c r="GNM7" s="20"/>
      <c r="GNN7" s="20"/>
      <c r="GNO7" s="20"/>
      <c r="GNP7" s="20"/>
      <c r="GNQ7" s="20"/>
      <c r="GNR7" s="20"/>
      <c r="GNS7" s="20"/>
      <c r="GNT7" s="20"/>
      <c r="GNU7" s="20"/>
      <c r="GNV7" s="20"/>
      <c r="GNW7" s="20"/>
      <c r="GNX7" s="20"/>
      <c r="GNY7" s="20"/>
      <c r="GNZ7" s="20"/>
      <c r="GOA7" s="20"/>
      <c r="GOB7" s="20"/>
      <c r="GOC7" s="20"/>
      <c r="GOD7" s="20"/>
      <c r="GOE7" s="20"/>
      <c r="GOF7" s="20"/>
      <c r="GOG7" s="20"/>
      <c r="GOH7" s="20"/>
      <c r="GOI7" s="20"/>
      <c r="GOJ7" s="20"/>
      <c r="GOK7" s="20"/>
      <c r="GOL7" s="20"/>
      <c r="GOM7" s="20"/>
      <c r="GON7" s="20"/>
      <c r="GOO7" s="20"/>
      <c r="GOP7" s="20"/>
      <c r="GOQ7" s="20"/>
      <c r="GOR7" s="20"/>
      <c r="GOS7" s="20"/>
      <c r="GOT7" s="20"/>
      <c r="GOU7" s="20"/>
      <c r="GOV7" s="20"/>
      <c r="GOW7" s="20"/>
      <c r="GOX7" s="20"/>
      <c r="GOY7" s="20"/>
      <c r="GOZ7" s="20"/>
      <c r="GPA7" s="20"/>
      <c r="GPB7" s="20"/>
      <c r="GPC7" s="20"/>
      <c r="GPD7" s="20"/>
      <c r="GPE7" s="20"/>
      <c r="GPF7" s="20"/>
      <c r="GPG7" s="20"/>
      <c r="GPH7" s="20"/>
      <c r="GPI7" s="20"/>
      <c r="GPJ7" s="20"/>
      <c r="GPK7" s="20"/>
      <c r="GPL7" s="20"/>
      <c r="GPM7" s="20"/>
      <c r="GPN7" s="20"/>
      <c r="GPO7" s="20"/>
      <c r="GPP7" s="20"/>
      <c r="GPQ7" s="20"/>
      <c r="GPR7" s="20"/>
      <c r="GPS7" s="20"/>
      <c r="GPT7" s="20"/>
      <c r="GPU7" s="20"/>
      <c r="GPV7" s="20"/>
      <c r="GPW7" s="20"/>
      <c r="GPX7" s="20"/>
      <c r="GPY7" s="20"/>
      <c r="GPZ7" s="20"/>
      <c r="GQA7" s="20"/>
      <c r="GQB7" s="20"/>
      <c r="GQC7" s="20"/>
      <c r="GQD7" s="20"/>
      <c r="GQE7" s="20"/>
      <c r="GQF7" s="20"/>
      <c r="GQG7" s="20"/>
      <c r="GQH7" s="20"/>
      <c r="GQI7" s="20"/>
      <c r="GQJ7" s="20"/>
      <c r="GQK7" s="20"/>
      <c r="GQL7" s="20"/>
      <c r="GQM7" s="20"/>
      <c r="GQN7" s="20"/>
      <c r="GQO7" s="20"/>
      <c r="GQP7" s="20"/>
      <c r="GQQ7" s="20"/>
      <c r="GQR7" s="20"/>
      <c r="GQS7" s="20"/>
      <c r="GQT7" s="20"/>
      <c r="GQU7" s="20"/>
      <c r="GQV7" s="20"/>
      <c r="GQW7" s="20"/>
      <c r="GQX7" s="20"/>
      <c r="GQY7" s="20"/>
      <c r="GQZ7" s="20"/>
      <c r="GRA7" s="20"/>
      <c r="GRB7" s="20"/>
      <c r="GRC7" s="20"/>
      <c r="GRD7" s="20"/>
      <c r="GRE7" s="20"/>
      <c r="GRF7" s="20"/>
      <c r="GRG7" s="20"/>
      <c r="GRH7" s="20"/>
      <c r="GRI7" s="20"/>
      <c r="GRJ7" s="20"/>
      <c r="GRK7" s="20"/>
      <c r="GRL7" s="20"/>
      <c r="GRM7" s="20"/>
      <c r="GRN7" s="20"/>
      <c r="GRO7" s="20"/>
      <c r="GRP7" s="20"/>
      <c r="GRQ7" s="20"/>
      <c r="GRR7" s="20"/>
      <c r="GRS7" s="20"/>
      <c r="GRT7" s="20"/>
      <c r="GRU7" s="20"/>
      <c r="GRV7" s="20"/>
      <c r="GRW7" s="20"/>
      <c r="GRX7" s="20"/>
      <c r="GRY7" s="20"/>
      <c r="GRZ7" s="20"/>
      <c r="GSA7" s="20"/>
      <c r="GSB7" s="20"/>
      <c r="GSC7" s="20"/>
      <c r="GSD7" s="20"/>
      <c r="GSE7" s="20"/>
      <c r="GSF7" s="20"/>
      <c r="GSG7" s="20"/>
      <c r="GSH7" s="20"/>
      <c r="GSI7" s="20"/>
      <c r="GSJ7" s="20"/>
      <c r="GSK7" s="20"/>
      <c r="GSL7" s="20"/>
      <c r="GSM7" s="20"/>
      <c r="GSN7" s="20"/>
      <c r="GSO7" s="20"/>
      <c r="GSP7" s="20"/>
      <c r="GSQ7" s="20"/>
      <c r="GSR7" s="20"/>
      <c r="GSS7" s="20"/>
      <c r="GST7" s="20"/>
      <c r="GSU7" s="20"/>
      <c r="GSV7" s="20"/>
      <c r="GSW7" s="20"/>
      <c r="GSX7" s="20"/>
      <c r="GSY7" s="20"/>
      <c r="GSZ7" s="20"/>
      <c r="GTA7" s="20"/>
      <c r="GTB7" s="20"/>
      <c r="GTC7" s="20"/>
      <c r="GTD7" s="20"/>
      <c r="GTE7" s="20"/>
      <c r="GTF7" s="20"/>
      <c r="GTG7" s="20"/>
      <c r="GTH7" s="20"/>
      <c r="GTI7" s="20"/>
      <c r="GTJ7" s="20"/>
      <c r="GTK7" s="20"/>
      <c r="GTL7" s="20"/>
      <c r="GTM7" s="20"/>
      <c r="GTN7" s="20"/>
      <c r="GTO7" s="20"/>
      <c r="GTP7" s="20"/>
      <c r="GTQ7" s="20"/>
      <c r="GTR7" s="20"/>
      <c r="GTS7" s="20"/>
      <c r="GTT7" s="20"/>
      <c r="GTU7" s="20"/>
      <c r="GTV7" s="20"/>
      <c r="GTW7" s="20"/>
      <c r="GTX7" s="20"/>
      <c r="GTY7" s="20"/>
      <c r="GTZ7" s="20"/>
      <c r="GUA7" s="20"/>
      <c r="GUB7" s="20"/>
      <c r="GUC7" s="20"/>
      <c r="GUD7" s="20"/>
      <c r="GUE7" s="20"/>
      <c r="GUF7" s="20"/>
      <c r="GUG7" s="20"/>
      <c r="GUH7" s="20"/>
      <c r="GUI7" s="20"/>
      <c r="GUJ7" s="20"/>
      <c r="GUK7" s="20"/>
      <c r="GUL7" s="20"/>
      <c r="GUM7" s="20"/>
      <c r="GUN7" s="20"/>
      <c r="GUO7" s="20"/>
      <c r="GUP7" s="20"/>
      <c r="GUQ7" s="20"/>
      <c r="GUR7" s="20"/>
      <c r="GUS7" s="20"/>
      <c r="GUT7" s="20"/>
      <c r="GUU7" s="20"/>
      <c r="GUV7" s="20"/>
      <c r="GUW7" s="20"/>
      <c r="GUX7" s="20"/>
      <c r="GUY7" s="20"/>
      <c r="GUZ7" s="20"/>
      <c r="GVA7" s="20"/>
      <c r="GVB7" s="20"/>
      <c r="GVC7" s="20"/>
      <c r="GVD7" s="20"/>
      <c r="GVE7" s="20"/>
      <c r="GVF7" s="20"/>
      <c r="GVG7" s="20"/>
      <c r="GVH7" s="20"/>
      <c r="GVI7" s="20"/>
      <c r="GVJ7" s="20"/>
      <c r="GVK7" s="20"/>
      <c r="GVL7" s="20"/>
      <c r="GVM7" s="20"/>
      <c r="GVN7" s="20"/>
      <c r="GVO7" s="20"/>
      <c r="GVP7" s="20"/>
      <c r="GVQ7" s="20"/>
      <c r="GVR7" s="20"/>
      <c r="GVS7" s="20"/>
      <c r="GVT7" s="20"/>
      <c r="GVU7" s="20"/>
      <c r="GVV7" s="20"/>
      <c r="GVW7" s="20"/>
      <c r="GVX7" s="20"/>
      <c r="GVY7" s="20"/>
      <c r="GVZ7" s="20"/>
      <c r="GWA7" s="20"/>
      <c r="GWB7" s="20"/>
      <c r="GWC7" s="20"/>
      <c r="GWD7" s="20"/>
      <c r="GWE7" s="20"/>
      <c r="GWF7" s="20"/>
      <c r="GWG7" s="20"/>
      <c r="GWH7" s="20"/>
      <c r="GWI7" s="20"/>
      <c r="GWJ7" s="20"/>
      <c r="GWK7" s="20"/>
      <c r="GWL7" s="20"/>
      <c r="GWM7" s="20"/>
      <c r="GWN7" s="20"/>
      <c r="GWO7" s="20"/>
      <c r="GWP7" s="20"/>
      <c r="GWQ7" s="20"/>
      <c r="GWR7" s="20"/>
      <c r="GWS7" s="20"/>
      <c r="GWT7" s="20"/>
      <c r="GWU7" s="20"/>
      <c r="GWV7" s="20"/>
      <c r="GWW7" s="20"/>
      <c r="GWX7" s="20"/>
      <c r="GWY7" s="20"/>
      <c r="GWZ7" s="20"/>
      <c r="GXA7" s="20"/>
      <c r="GXB7" s="20"/>
      <c r="GXC7" s="20"/>
      <c r="GXD7" s="20"/>
      <c r="GXE7" s="20"/>
      <c r="GXF7" s="20"/>
      <c r="GXG7" s="20"/>
      <c r="GXH7" s="20"/>
      <c r="GXI7" s="20"/>
      <c r="GXJ7" s="20"/>
      <c r="GXK7" s="20"/>
      <c r="GXL7" s="20"/>
      <c r="GXM7" s="20"/>
      <c r="GXN7" s="20"/>
      <c r="GXO7" s="20"/>
      <c r="GXP7" s="20"/>
      <c r="GXQ7" s="20"/>
      <c r="GXR7" s="20"/>
      <c r="GXS7" s="20"/>
      <c r="GXT7" s="20"/>
      <c r="GXU7" s="20"/>
      <c r="GXV7" s="20"/>
      <c r="GXW7" s="20"/>
      <c r="GXX7" s="20"/>
      <c r="GXY7" s="20"/>
      <c r="GXZ7" s="20"/>
      <c r="GYA7" s="20"/>
      <c r="GYB7" s="20"/>
      <c r="GYC7" s="20"/>
      <c r="GYD7" s="20"/>
      <c r="GYE7" s="20"/>
      <c r="GYF7" s="20"/>
      <c r="GYG7" s="20"/>
      <c r="GYH7" s="20"/>
      <c r="GYI7" s="20"/>
      <c r="GYJ7" s="20"/>
      <c r="GYK7" s="20"/>
      <c r="GYL7" s="20"/>
      <c r="GYM7" s="20"/>
      <c r="GYN7" s="20"/>
      <c r="GYO7" s="20"/>
      <c r="GYP7" s="20"/>
      <c r="GYQ7" s="20"/>
      <c r="GYR7" s="20"/>
      <c r="GYS7" s="20"/>
      <c r="GYT7" s="20"/>
      <c r="GYU7" s="20"/>
      <c r="GYV7" s="20"/>
      <c r="GYW7" s="20"/>
      <c r="GYX7" s="20"/>
      <c r="GYY7" s="20"/>
      <c r="GYZ7" s="20"/>
      <c r="GZA7" s="20"/>
      <c r="GZB7" s="20"/>
      <c r="GZC7" s="20"/>
      <c r="GZD7" s="20"/>
      <c r="GZE7" s="20"/>
      <c r="GZF7" s="20"/>
      <c r="GZG7" s="20"/>
      <c r="GZH7" s="20"/>
      <c r="GZI7" s="20"/>
      <c r="GZJ7" s="20"/>
      <c r="GZK7" s="20"/>
      <c r="GZL7" s="20"/>
      <c r="GZM7" s="20"/>
      <c r="GZN7" s="20"/>
      <c r="GZO7" s="20"/>
      <c r="GZP7" s="20"/>
      <c r="GZQ7" s="20"/>
      <c r="GZR7" s="20"/>
      <c r="GZS7" s="20"/>
      <c r="GZT7" s="20"/>
      <c r="GZU7" s="20"/>
      <c r="GZV7" s="20"/>
      <c r="GZW7" s="20"/>
      <c r="GZX7" s="20"/>
      <c r="GZY7" s="20"/>
      <c r="GZZ7" s="20"/>
      <c r="HAA7" s="20"/>
      <c r="HAB7" s="20"/>
      <c r="HAC7" s="20"/>
      <c r="HAD7" s="20"/>
      <c r="HAE7" s="20"/>
      <c r="HAF7" s="20"/>
      <c r="HAG7" s="20"/>
      <c r="HAH7" s="20"/>
      <c r="HAI7" s="20"/>
      <c r="HAJ7" s="20"/>
      <c r="HAK7" s="20"/>
      <c r="HAL7" s="20"/>
      <c r="HAM7" s="20"/>
      <c r="HAN7" s="20"/>
      <c r="HAO7" s="20"/>
      <c r="HAP7" s="20"/>
      <c r="HAQ7" s="20"/>
      <c r="HAR7" s="20"/>
      <c r="HAS7" s="20"/>
      <c r="HAT7" s="20"/>
      <c r="HAU7" s="20"/>
      <c r="HAV7" s="20"/>
      <c r="HAW7" s="20"/>
      <c r="HAX7" s="20"/>
      <c r="HAY7" s="20"/>
      <c r="HAZ7" s="20"/>
      <c r="HBA7" s="20"/>
      <c r="HBB7" s="20"/>
      <c r="HBC7" s="20"/>
      <c r="HBD7" s="20"/>
      <c r="HBE7" s="20"/>
      <c r="HBF7" s="20"/>
      <c r="HBG7" s="20"/>
      <c r="HBH7" s="20"/>
      <c r="HBI7" s="20"/>
      <c r="HBJ7" s="20"/>
      <c r="HBK7" s="20"/>
      <c r="HBL7" s="20"/>
      <c r="HBM7" s="20"/>
      <c r="HBN7" s="20"/>
      <c r="HBO7" s="20"/>
      <c r="HBP7" s="20"/>
      <c r="HBQ7" s="20"/>
      <c r="HBR7" s="20"/>
      <c r="HBS7" s="20"/>
      <c r="HBT7" s="20"/>
      <c r="HBU7" s="20"/>
      <c r="HBV7" s="20"/>
      <c r="HBW7" s="20"/>
      <c r="HBX7" s="20"/>
      <c r="HBY7" s="20"/>
      <c r="HBZ7" s="20"/>
      <c r="HCA7" s="20"/>
      <c r="HCB7" s="20"/>
      <c r="HCC7" s="20"/>
      <c r="HCD7" s="20"/>
      <c r="HCE7" s="20"/>
      <c r="HCF7" s="20"/>
      <c r="HCG7" s="20"/>
      <c r="HCH7" s="20"/>
      <c r="HCI7" s="20"/>
      <c r="HCJ7" s="20"/>
      <c r="HCK7" s="20"/>
      <c r="HCL7" s="20"/>
      <c r="HCM7" s="20"/>
      <c r="HCN7" s="20"/>
      <c r="HCO7" s="20"/>
      <c r="HCP7" s="20"/>
      <c r="HCQ7" s="20"/>
      <c r="HCR7" s="20"/>
      <c r="HCS7" s="20"/>
      <c r="HCT7" s="20"/>
      <c r="HCU7" s="20"/>
      <c r="HCV7" s="20"/>
      <c r="HCW7" s="20"/>
      <c r="HCX7" s="20"/>
      <c r="HCY7" s="20"/>
      <c r="HCZ7" s="20"/>
      <c r="HDA7" s="20"/>
      <c r="HDB7" s="20"/>
      <c r="HDC7" s="20"/>
      <c r="HDD7" s="20"/>
      <c r="HDE7" s="20"/>
      <c r="HDF7" s="20"/>
      <c r="HDG7" s="20"/>
      <c r="HDH7" s="20"/>
      <c r="HDI7" s="20"/>
      <c r="HDJ7" s="20"/>
      <c r="HDK7" s="20"/>
      <c r="HDL7" s="20"/>
      <c r="HDM7" s="20"/>
      <c r="HDN7" s="20"/>
      <c r="HDO7" s="20"/>
      <c r="HDP7" s="20"/>
      <c r="HDQ7" s="20"/>
      <c r="HDR7" s="20"/>
      <c r="HDS7" s="20"/>
      <c r="HDT7" s="20"/>
      <c r="HDU7" s="20"/>
      <c r="HDV7" s="20"/>
      <c r="HDW7" s="20"/>
      <c r="HDX7" s="20"/>
      <c r="HDY7" s="20"/>
      <c r="HDZ7" s="20"/>
      <c r="HEA7" s="20"/>
      <c r="HEB7" s="20"/>
      <c r="HEC7" s="20"/>
      <c r="HED7" s="20"/>
      <c r="HEE7" s="20"/>
      <c r="HEF7" s="20"/>
      <c r="HEG7" s="20"/>
      <c r="HEH7" s="20"/>
      <c r="HEI7" s="20"/>
      <c r="HEJ7" s="20"/>
      <c r="HEK7" s="20"/>
      <c r="HEL7" s="20"/>
      <c r="HEM7" s="20"/>
      <c r="HEN7" s="20"/>
      <c r="HEO7" s="20"/>
      <c r="HEP7" s="20"/>
      <c r="HEQ7" s="20"/>
      <c r="HER7" s="20"/>
      <c r="HES7" s="20"/>
      <c r="HET7" s="20"/>
      <c r="HEU7" s="20"/>
      <c r="HEV7" s="20"/>
      <c r="HEW7" s="20"/>
      <c r="HEX7" s="20"/>
      <c r="HEY7" s="20"/>
      <c r="HEZ7" s="20"/>
      <c r="HFA7" s="20"/>
      <c r="HFB7" s="20"/>
      <c r="HFC7" s="20"/>
      <c r="HFD7" s="20"/>
      <c r="HFE7" s="20"/>
      <c r="HFF7" s="20"/>
      <c r="HFG7" s="20"/>
      <c r="HFH7" s="20"/>
      <c r="HFI7" s="20"/>
      <c r="HFJ7" s="20"/>
      <c r="HFK7" s="20"/>
      <c r="HFL7" s="20"/>
      <c r="HFM7" s="20"/>
      <c r="HFN7" s="20"/>
      <c r="HFO7" s="20"/>
      <c r="HFP7" s="20"/>
      <c r="HFQ7" s="20"/>
      <c r="HFR7" s="20"/>
      <c r="HFS7" s="20"/>
      <c r="HFT7" s="20"/>
      <c r="HFU7" s="20"/>
      <c r="HFV7" s="20"/>
      <c r="HFW7" s="20"/>
      <c r="HFX7" s="20"/>
      <c r="HFY7" s="20"/>
      <c r="HFZ7" s="20"/>
      <c r="HGA7" s="20"/>
      <c r="HGB7" s="20"/>
      <c r="HGC7" s="20"/>
      <c r="HGD7" s="20"/>
      <c r="HGE7" s="20"/>
      <c r="HGF7" s="20"/>
      <c r="HGG7" s="20"/>
      <c r="HGH7" s="20"/>
      <c r="HGI7" s="20"/>
      <c r="HGJ7" s="20"/>
      <c r="HGK7" s="20"/>
      <c r="HGL7" s="20"/>
      <c r="HGM7" s="20"/>
      <c r="HGN7" s="20"/>
      <c r="HGO7" s="20"/>
      <c r="HGP7" s="20"/>
      <c r="HGQ7" s="20"/>
      <c r="HGR7" s="20"/>
      <c r="HGS7" s="20"/>
      <c r="HGT7" s="20"/>
      <c r="HGU7" s="20"/>
      <c r="HGV7" s="20"/>
      <c r="HGW7" s="20"/>
      <c r="HGX7" s="20"/>
      <c r="HGY7" s="20"/>
      <c r="HGZ7" s="20"/>
      <c r="HHA7" s="20"/>
      <c r="HHB7" s="20"/>
      <c r="HHC7" s="20"/>
      <c r="HHD7" s="20"/>
      <c r="HHE7" s="20"/>
      <c r="HHF7" s="20"/>
      <c r="HHG7" s="20"/>
      <c r="HHH7" s="20"/>
      <c r="HHI7" s="20"/>
      <c r="HHJ7" s="20"/>
      <c r="HHK7" s="20"/>
      <c r="HHL7" s="20"/>
      <c r="HHM7" s="20"/>
      <c r="HHN7" s="20"/>
      <c r="HHO7" s="20"/>
      <c r="HHP7" s="20"/>
      <c r="HHQ7" s="20"/>
      <c r="HHR7" s="20"/>
      <c r="HHS7" s="20"/>
      <c r="HHT7" s="20"/>
      <c r="HHU7" s="20"/>
      <c r="HHV7" s="20"/>
      <c r="HHW7" s="20"/>
      <c r="HHX7" s="20"/>
      <c r="HHY7" s="20"/>
      <c r="HHZ7" s="20"/>
      <c r="HIA7" s="20"/>
      <c r="HIB7" s="20"/>
      <c r="HIC7" s="20"/>
      <c r="HID7" s="20"/>
      <c r="HIE7" s="20"/>
      <c r="HIF7" s="20"/>
      <c r="HIG7" s="20"/>
      <c r="HIH7" s="20"/>
      <c r="HII7" s="20"/>
      <c r="HIJ7" s="20"/>
      <c r="HIK7" s="20"/>
      <c r="HIL7" s="20"/>
      <c r="HIM7" s="20"/>
      <c r="HIN7" s="20"/>
      <c r="HIO7" s="20"/>
      <c r="HIP7" s="20"/>
      <c r="HIQ7" s="20"/>
      <c r="HIR7" s="20"/>
      <c r="HIS7" s="20"/>
      <c r="HIT7" s="20"/>
      <c r="HIU7" s="20"/>
      <c r="HIV7" s="20"/>
      <c r="HIW7" s="20"/>
      <c r="HIX7" s="20"/>
      <c r="HIY7" s="20"/>
      <c r="HIZ7" s="20"/>
      <c r="HJA7" s="20"/>
      <c r="HJB7" s="20"/>
      <c r="HJC7" s="20"/>
      <c r="HJD7" s="20"/>
      <c r="HJE7" s="20"/>
      <c r="HJF7" s="20"/>
      <c r="HJG7" s="20"/>
      <c r="HJH7" s="20"/>
      <c r="HJI7" s="20"/>
      <c r="HJJ7" s="20"/>
      <c r="HJK7" s="20"/>
      <c r="HJL7" s="20"/>
      <c r="HJM7" s="20"/>
      <c r="HJN7" s="20"/>
      <c r="HJO7" s="20"/>
      <c r="HJP7" s="20"/>
      <c r="HJQ7" s="20"/>
      <c r="HJR7" s="20"/>
      <c r="HJS7" s="20"/>
      <c r="HJT7" s="20"/>
      <c r="HJU7" s="20"/>
      <c r="HJV7" s="20"/>
      <c r="HJW7" s="20"/>
      <c r="HJX7" s="20"/>
      <c r="HJY7" s="20"/>
      <c r="HJZ7" s="20"/>
      <c r="HKA7" s="20"/>
      <c r="HKB7" s="20"/>
      <c r="HKC7" s="20"/>
      <c r="HKD7" s="20"/>
      <c r="HKE7" s="20"/>
      <c r="HKF7" s="20"/>
      <c r="HKG7" s="20"/>
      <c r="HKH7" s="20"/>
      <c r="HKI7" s="20"/>
      <c r="HKJ7" s="20"/>
      <c r="HKK7" s="20"/>
      <c r="HKL7" s="20"/>
      <c r="HKM7" s="20"/>
      <c r="HKN7" s="20"/>
      <c r="HKO7" s="20"/>
      <c r="HKP7" s="20"/>
      <c r="HKQ7" s="20"/>
      <c r="HKR7" s="20"/>
      <c r="HKS7" s="20"/>
      <c r="HKT7" s="20"/>
      <c r="HKU7" s="20"/>
      <c r="HKV7" s="20"/>
      <c r="HKW7" s="20"/>
      <c r="HKX7" s="20"/>
      <c r="HKY7" s="20"/>
      <c r="HKZ7" s="20"/>
      <c r="HLA7" s="20"/>
      <c r="HLB7" s="20"/>
      <c r="HLC7" s="20"/>
      <c r="HLD7" s="20"/>
      <c r="HLE7" s="20"/>
      <c r="HLF7" s="20"/>
      <c r="HLG7" s="20"/>
      <c r="HLH7" s="20"/>
      <c r="HLI7" s="20"/>
      <c r="HLJ7" s="20"/>
      <c r="HLK7" s="20"/>
      <c r="HLL7" s="20"/>
      <c r="HLM7" s="20"/>
      <c r="HLN7" s="20"/>
      <c r="HLO7" s="20"/>
      <c r="HLP7" s="20"/>
      <c r="HLQ7" s="20"/>
      <c r="HLR7" s="20"/>
      <c r="HLS7" s="20"/>
      <c r="HLT7" s="20"/>
      <c r="HLU7" s="20"/>
      <c r="HLV7" s="20"/>
      <c r="HLW7" s="20"/>
      <c r="HLX7" s="20"/>
      <c r="HLY7" s="20"/>
      <c r="HLZ7" s="20"/>
      <c r="HMA7" s="20"/>
      <c r="HMB7" s="20"/>
      <c r="HMC7" s="20"/>
      <c r="HMD7" s="20"/>
      <c r="HME7" s="20"/>
      <c r="HMF7" s="20"/>
      <c r="HMG7" s="20"/>
      <c r="HMH7" s="20"/>
      <c r="HMI7" s="20"/>
      <c r="HMJ7" s="20"/>
      <c r="HMK7" s="20"/>
      <c r="HML7" s="20"/>
      <c r="HMM7" s="20"/>
      <c r="HMN7" s="20"/>
      <c r="HMO7" s="20"/>
      <c r="HMP7" s="20"/>
      <c r="HMQ7" s="20"/>
      <c r="HMR7" s="20"/>
      <c r="HMS7" s="20"/>
      <c r="HMT7" s="20"/>
      <c r="HMU7" s="20"/>
      <c r="HMV7" s="20"/>
      <c r="HMW7" s="20"/>
      <c r="HMX7" s="20"/>
      <c r="HMY7" s="20"/>
      <c r="HMZ7" s="20"/>
      <c r="HNA7" s="20"/>
      <c r="HNB7" s="20"/>
      <c r="HNC7" s="20"/>
      <c r="HND7" s="20"/>
      <c r="HNE7" s="20"/>
      <c r="HNF7" s="20"/>
      <c r="HNG7" s="20"/>
      <c r="HNH7" s="20"/>
      <c r="HNI7" s="20"/>
      <c r="HNJ7" s="20"/>
      <c r="HNK7" s="20"/>
      <c r="HNL7" s="20"/>
      <c r="HNM7" s="20"/>
      <c r="HNN7" s="20"/>
      <c r="HNO7" s="20"/>
      <c r="HNP7" s="20"/>
      <c r="HNQ7" s="20"/>
      <c r="HNR7" s="20"/>
      <c r="HNS7" s="20"/>
      <c r="HNT7" s="20"/>
      <c r="HNU7" s="20"/>
      <c r="HNV7" s="20"/>
      <c r="HNW7" s="20"/>
      <c r="HNX7" s="20"/>
      <c r="HNY7" s="20"/>
      <c r="HNZ7" s="20"/>
      <c r="HOA7" s="20"/>
      <c r="HOB7" s="20"/>
      <c r="HOC7" s="20"/>
      <c r="HOD7" s="20"/>
      <c r="HOE7" s="20"/>
      <c r="HOF7" s="20"/>
      <c r="HOG7" s="20"/>
      <c r="HOH7" s="20"/>
      <c r="HOI7" s="20"/>
      <c r="HOJ7" s="20"/>
      <c r="HOK7" s="20"/>
      <c r="HOL7" s="20"/>
      <c r="HOM7" s="20"/>
      <c r="HON7" s="20"/>
      <c r="HOO7" s="20"/>
      <c r="HOP7" s="20"/>
      <c r="HOQ7" s="20"/>
      <c r="HOR7" s="20"/>
      <c r="HOS7" s="20"/>
      <c r="HOT7" s="20"/>
      <c r="HOU7" s="20"/>
      <c r="HOV7" s="20"/>
      <c r="HOW7" s="20"/>
      <c r="HOX7" s="20"/>
      <c r="HOY7" s="20"/>
      <c r="HOZ7" s="20"/>
      <c r="HPA7" s="20"/>
      <c r="HPB7" s="20"/>
      <c r="HPC7" s="20"/>
      <c r="HPD7" s="20"/>
      <c r="HPE7" s="20"/>
      <c r="HPF7" s="20"/>
      <c r="HPG7" s="20"/>
      <c r="HPH7" s="20"/>
      <c r="HPI7" s="20"/>
      <c r="HPJ7" s="20"/>
      <c r="HPK7" s="20"/>
      <c r="HPL7" s="20"/>
      <c r="HPM7" s="20"/>
      <c r="HPN7" s="20"/>
      <c r="HPO7" s="20"/>
      <c r="HPP7" s="20"/>
      <c r="HPQ7" s="20"/>
      <c r="HPR7" s="20"/>
      <c r="HPS7" s="20"/>
      <c r="HPT7" s="20"/>
      <c r="HPU7" s="20"/>
      <c r="HPV7" s="20"/>
      <c r="HPW7" s="20"/>
      <c r="HPX7" s="20"/>
      <c r="HPY7" s="20"/>
      <c r="HPZ7" s="20"/>
      <c r="HQA7" s="20"/>
      <c r="HQB7" s="20"/>
      <c r="HQC7" s="20"/>
      <c r="HQD7" s="20"/>
      <c r="HQE7" s="20"/>
      <c r="HQF7" s="20"/>
      <c r="HQG7" s="20"/>
      <c r="HQH7" s="20"/>
      <c r="HQI7" s="20"/>
      <c r="HQJ7" s="20"/>
      <c r="HQK7" s="20"/>
      <c r="HQL7" s="20"/>
      <c r="HQM7" s="20"/>
      <c r="HQN7" s="20"/>
      <c r="HQO7" s="20"/>
      <c r="HQP7" s="20"/>
      <c r="HQQ7" s="20"/>
      <c r="HQR7" s="20"/>
      <c r="HQS7" s="20"/>
      <c r="HQT7" s="20"/>
      <c r="HQU7" s="20"/>
      <c r="HQV7" s="20"/>
      <c r="HQW7" s="20"/>
      <c r="HQX7" s="20"/>
      <c r="HQY7" s="20"/>
      <c r="HQZ7" s="20"/>
      <c r="HRA7" s="20"/>
      <c r="HRB7" s="20"/>
      <c r="HRC7" s="20"/>
      <c r="HRD7" s="20"/>
      <c r="HRE7" s="20"/>
      <c r="HRF7" s="20"/>
      <c r="HRG7" s="20"/>
      <c r="HRH7" s="20"/>
      <c r="HRI7" s="20"/>
      <c r="HRJ7" s="20"/>
      <c r="HRK7" s="20"/>
      <c r="HRL7" s="20"/>
      <c r="HRM7" s="20"/>
      <c r="HRN7" s="20"/>
      <c r="HRO7" s="20"/>
      <c r="HRP7" s="20"/>
      <c r="HRQ7" s="20"/>
      <c r="HRR7" s="20"/>
      <c r="HRS7" s="20"/>
      <c r="HRT7" s="20"/>
      <c r="HRU7" s="20"/>
      <c r="HRV7" s="20"/>
      <c r="HRW7" s="20"/>
      <c r="HRX7" s="20"/>
      <c r="HRY7" s="20"/>
      <c r="HRZ7" s="20"/>
      <c r="HSA7" s="20"/>
      <c r="HSB7" s="20"/>
      <c r="HSC7" s="20"/>
      <c r="HSD7" s="20"/>
      <c r="HSE7" s="20"/>
      <c r="HSF7" s="20"/>
      <c r="HSG7" s="20"/>
      <c r="HSH7" s="20"/>
      <c r="HSI7" s="20"/>
      <c r="HSJ7" s="20"/>
      <c r="HSK7" s="20"/>
      <c r="HSL7" s="20"/>
      <c r="HSM7" s="20"/>
      <c r="HSN7" s="20"/>
      <c r="HSO7" s="20"/>
      <c r="HSP7" s="20"/>
      <c r="HSQ7" s="20"/>
      <c r="HSR7" s="20"/>
      <c r="HSS7" s="20"/>
      <c r="HST7" s="20"/>
      <c r="HSU7" s="20"/>
      <c r="HSV7" s="20"/>
      <c r="HSW7" s="20"/>
      <c r="HSX7" s="20"/>
      <c r="HSY7" s="20"/>
      <c r="HSZ7" s="20"/>
      <c r="HTA7" s="20"/>
      <c r="HTB7" s="20"/>
      <c r="HTC7" s="20"/>
      <c r="HTD7" s="20"/>
      <c r="HTE7" s="20"/>
      <c r="HTF7" s="20"/>
      <c r="HTG7" s="20"/>
      <c r="HTH7" s="20"/>
      <c r="HTI7" s="20"/>
      <c r="HTJ7" s="20"/>
      <c r="HTK7" s="20"/>
      <c r="HTL7" s="20"/>
      <c r="HTM7" s="20"/>
      <c r="HTN7" s="20"/>
      <c r="HTO7" s="20"/>
      <c r="HTP7" s="20"/>
      <c r="HTQ7" s="20"/>
      <c r="HTR7" s="20"/>
      <c r="HTS7" s="20"/>
      <c r="HTT7" s="20"/>
      <c r="HTU7" s="20"/>
      <c r="HTV7" s="20"/>
      <c r="HTW7" s="20"/>
      <c r="HTX7" s="20"/>
      <c r="HTY7" s="20"/>
      <c r="HTZ7" s="20"/>
      <c r="HUA7" s="20"/>
      <c r="HUB7" s="20"/>
      <c r="HUC7" s="20"/>
      <c r="HUD7" s="20"/>
      <c r="HUE7" s="20"/>
      <c r="HUF7" s="20"/>
      <c r="HUG7" s="20"/>
      <c r="HUH7" s="20"/>
      <c r="HUI7" s="20"/>
      <c r="HUJ7" s="20"/>
      <c r="HUK7" s="20"/>
      <c r="HUL7" s="20"/>
      <c r="HUM7" s="20"/>
      <c r="HUN7" s="20"/>
      <c r="HUO7" s="20"/>
      <c r="HUP7" s="20"/>
      <c r="HUQ7" s="20"/>
      <c r="HUR7" s="20"/>
      <c r="HUS7" s="20"/>
      <c r="HUT7" s="20"/>
      <c r="HUU7" s="20"/>
      <c r="HUV7" s="20"/>
      <c r="HUW7" s="20"/>
      <c r="HUX7" s="20"/>
      <c r="HUY7" s="20"/>
      <c r="HUZ7" s="20"/>
      <c r="HVA7" s="20"/>
      <c r="HVB7" s="20"/>
      <c r="HVC7" s="20"/>
      <c r="HVD7" s="20"/>
      <c r="HVE7" s="20"/>
      <c r="HVF7" s="20"/>
      <c r="HVG7" s="20"/>
      <c r="HVH7" s="20"/>
      <c r="HVI7" s="20"/>
      <c r="HVJ7" s="20"/>
      <c r="HVK7" s="20"/>
      <c r="HVL7" s="20"/>
      <c r="HVM7" s="20"/>
      <c r="HVN7" s="20"/>
      <c r="HVO7" s="20"/>
      <c r="HVP7" s="20"/>
      <c r="HVQ7" s="20"/>
      <c r="HVR7" s="20"/>
      <c r="HVS7" s="20"/>
      <c r="HVT7" s="20"/>
      <c r="HVU7" s="20"/>
      <c r="HVV7" s="20"/>
      <c r="HVW7" s="20"/>
      <c r="HVX7" s="20"/>
      <c r="HVY7" s="20"/>
      <c r="HVZ7" s="20"/>
      <c r="HWA7" s="20"/>
      <c r="HWB7" s="20"/>
      <c r="HWC7" s="20"/>
      <c r="HWD7" s="20"/>
      <c r="HWE7" s="20"/>
      <c r="HWF7" s="20"/>
      <c r="HWG7" s="20"/>
      <c r="HWH7" s="20"/>
      <c r="HWI7" s="20"/>
      <c r="HWJ7" s="20"/>
      <c r="HWK7" s="20"/>
      <c r="HWL7" s="20"/>
      <c r="HWM7" s="20"/>
      <c r="HWN7" s="20"/>
      <c r="HWO7" s="20"/>
      <c r="HWP7" s="20"/>
      <c r="HWQ7" s="20"/>
      <c r="HWR7" s="20"/>
      <c r="HWS7" s="20"/>
      <c r="HWT7" s="20"/>
      <c r="HWU7" s="20"/>
      <c r="HWV7" s="20"/>
      <c r="HWW7" s="20"/>
      <c r="HWX7" s="20"/>
      <c r="HWY7" s="20"/>
      <c r="HWZ7" s="20"/>
      <c r="HXA7" s="20"/>
      <c r="HXB7" s="20"/>
      <c r="HXC7" s="20"/>
      <c r="HXD7" s="20"/>
      <c r="HXE7" s="20"/>
      <c r="HXF7" s="20"/>
      <c r="HXG7" s="20"/>
      <c r="HXH7" s="20"/>
      <c r="HXI7" s="20"/>
      <c r="HXJ7" s="20"/>
      <c r="HXK7" s="20"/>
      <c r="HXL7" s="20"/>
      <c r="HXM7" s="20"/>
      <c r="HXN7" s="20"/>
      <c r="HXO7" s="20"/>
      <c r="HXP7" s="20"/>
      <c r="HXQ7" s="20"/>
      <c r="HXR7" s="20"/>
      <c r="HXS7" s="20"/>
      <c r="HXT7" s="20"/>
      <c r="HXU7" s="20"/>
      <c r="HXV7" s="20"/>
      <c r="HXW7" s="20"/>
      <c r="HXX7" s="20"/>
      <c r="HXY7" s="20"/>
      <c r="HXZ7" s="20"/>
      <c r="HYA7" s="20"/>
      <c r="HYB7" s="20"/>
      <c r="HYC7" s="20"/>
      <c r="HYD7" s="20"/>
      <c r="HYE7" s="20"/>
      <c r="HYF7" s="20"/>
      <c r="HYG7" s="20"/>
      <c r="HYH7" s="20"/>
      <c r="HYI7" s="20"/>
      <c r="HYJ7" s="20"/>
      <c r="HYK7" s="20"/>
      <c r="HYL7" s="20"/>
      <c r="HYM7" s="20"/>
      <c r="HYN7" s="20"/>
      <c r="HYO7" s="20"/>
      <c r="HYP7" s="20"/>
      <c r="HYQ7" s="20"/>
      <c r="HYR7" s="20"/>
      <c r="HYS7" s="20"/>
      <c r="HYT7" s="20"/>
      <c r="HYU7" s="20"/>
      <c r="HYV7" s="20"/>
      <c r="HYW7" s="20"/>
      <c r="HYX7" s="20"/>
      <c r="HYY7" s="20"/>
      <c r="HYZ7" s="20"/>
      <c r="HZA7" s="20"/>
      <c r="HZB7" s="20"/>
      <c r="HZC7" s="20"/>
      <c r="HZD7" s="20"/>
      <c r="HZE7" s="20"/>
      <c r="HZF7" s="20"/>
      <c r="HZG7" s="20"/>
      <c r="HZH7" s="20"/>
      <c r="HZI7" s="20"/>
      <c r="HZJ7" s="20"/>
      <c r="HZK7" s="20"/>
      <c r="HZL7" s="20"/>
      <c r="HZM7" s="20"/>
      <c r="HZN7" s="20"/>
      <c r="HZO7" s="20"/>
      <c r="HZP7" s="20"/>
      <c r="HZQ7" s="20"/>
      <c r="HZR7" s="20"/>
      <c r="HZS7" s="20"/>
      <c r="HZT7" s="20"/>
      <c r="HZU7" s="20"/>
      <c r="HZV7" s="20"/>
      <c r="HZW7" s="20"/>
      <c r="HZX7" s="20"/>
      <c r="HZY7" s="20"/>
      <c r="HZZ7" s="20"/>
      <c r="IAA7" s="20"/>
      <c r="IAB7" s="20"/>
      <c r="IAC7" s="20"/>
      <c r="IAD7" s="20"/>
      <c r="IAE7" s="20"/>
      <c r="IAF7" s="20"/>
      <c r="IAG7" s="20"/>
      <c r="IAH7" s="20"/>
      <c r="IAI7" s="20"/>
      <c r="IAJ7" s="20"/>
      <c r="IAK7" s="20"/>
      <c r="IAL7" s="20"/>
      <c r="IAM7" s="20"/>
      <c r="IAN7" s="20"/>
      <c r="IAO7" s="20"/>
      <c r="IAP7" s="20"/>
      <c r="IAQ7" s="20"/>
      <c r="IAR7" s="20"/>
      <c r="IAS7" s="20"/>
      <c r="IAT7" s="20"/>
      <c r="IAU7" s="20"/>
      <c r="IAV7" s="20"/>
      <c r="IAW7" s="20"/>
      <c r="IAX7" s="20"/>
      <c r="IAY7" s="20"/>
      <c r="IAZ7" s="20"/>
      <c r="IBA7" s="20"/>
      <c r="IBB7" s="20"/>
      <c r="IBC7" s="20"/>
      <c r="IBD7" s="20"/>
      <c r="IBE7" s="20"/>
      <c r="IBF7" s="20"/>
      <c r="IBG7" s="20"/>
      <c r="IBH7" s="20"/>
      <c r="IBI7" s="20"/>
      <c r="IBJ7" s="20"/>
      <c r="IBK7" s="20"/>
      <c r="IBL7" s="20"/>
      <c r="IBM7" s="20"/>
      <c r="IBN7" s="20"/>
      <c r="IBO7" s="20"/>
      <c r="IBP7" s="20"/>
      <c r="IBQ7" s="20"/>
      <c r="IBR7" s="20"/>
      <c r="IBS7" s="20"/>
      <c r="IBT7" s="20"/>
      <c r="IBU7" s="20"/>
      <c r="IBV7" s="20"/>
      <c r="IBW7" s="20"/>
      <c r="IBX7" s="20"/>
      <c r="IBY7" s="20"/>
      <c r="IBZ7" s="20"/>
      <c r="ICA7" s="20"/>
      <c r="ICB7" s="20"/>
      <c r="ICC7" s="20"/>
      <c r="ICD7" s="20"/>
      <c r="ICE7" s="20"/>
      <c r="ICF7" s="20"/>
      <c r="ICG7" s="20"/>
      <c r="ICH7" s="20"/>
      <c r="ICI7" s="20"/>
      <c r="ICJ7" s="20"/>
      <c r="ICK7" s="20"/>
      <c r="ICL7" s="20"/>
      <c r="ICM7" s="20"/>
      <c r="ICN7" s="20"/>
      <c r="ICO7" s="20"/>
      <c r="ICP7" s="20"/>
      <c r="ICQ7" s="20"/>
      <c r="ICR7" s="20"/>
      <c r="ICS7" s="20"/>
      <c r="ICT7" s="20"/>
      <c r="ICU7" s="20"/>
      <c r="ICV7" s="20"/>
      <c r="ICW7" s="20"/>
      <c r="ICX7" s="20"/>
      <c r="ICY7" s="20"/>
      <c r="ICZ7" s="20"/>
      <c r="IDA7" s="20"/>
      <c r="IDB7" s="20"/>
      <c r="IDC7" s="20"/>
      <c r="IDD7" s="20"/>
      <c r="IDE7" s="20"/>
      <c r="IDF7" s="20"/>
      <c r="IDG7" s="20"/>
      <c r="IDH7" s="20"/>
      <c r="IDI7" s="20"/>
      <c r="IDJ7" s="20"/>
      <c r="IDK7" s="20"/>
      <c r="IDL7" s="20"/>
      <c r="IDM7" s="20"/>
      <c r="IDN7" s="20"/>
      <c r="IDO7" s="20"/>
      <c r="IDP7" s="20"/>
      <c r="IDQ7" s="20"/>
      <c r="IDR7" s="20"/>
      <c r="IDS7" s="20"/>
      <c r="IDT7" s="20"/>
      <c r="IDU7" s="20"/>
      <c r="IDV7" s="20"/>
      <c r="IDW7" s="20"/>
      <c r="IDX7" s="20"/>
      <c r="IDY7" s="20"/>
      <c r="IDZ7" s="20"/>
      <c r="IEA7" s="20"/>
      <c r="IEB7" s="20"/>
      <c r="IEC7" s="20"/>
      <c r="IED7" s="20"/>
      <c r="IEE7" s="20"/>
      <c r="IEF7" s="20"/>
      <c r="IEG7" s="20"/>
      <c r="IEH7" s="20"/>
      <c r="IEI7" s="20"/>
      <c r="IEJ7" s="20"/>
      <c r="IEK7" s="20"/>
      <c r="IEL7" s="20"/>
      <c r="IEM7" s="20"/>
      <c r="IEN7" s="20"/>
      <c r="IEO7" s="20"/>
      <c r="IEP7" s="20"/>
      <c r="IEQ7" s="20"/>
      <c r="IER7" s="20"/>
      <c r="IES7" s="20"/>
      <c r="IET7" s="20"/>
      <c r="IEU7" s="20"/>
      <c r="IEV7" s="20"/>
      <c r="IEW7" s="20"/>
      <c r="IEX7" s="20"/>
      <c r="IEY7" s="20"/>
      <c r="IEZ7" s="20"/>
      <c r="IFA7" s="20"/>
      <c r="IFB7" s="20"/>
      <c r="IFC7" s="20"/>
      <c r="IFD7" s="20"/>
      <c r="IFE7" s="20"/>
      <c r="IFF7" s="20"/>
      <c r="IFG7" s="20"/>
      <c r="IFH7" s="20"/>
      <c r="IFI7" s="20"/>
      <c r="IFJ7" s="20"/>
      <c r="IFK7" s="20"/>
      <c r="IFL7" s="20"/>
      <c r="IFM7" s="20"/>
      <c r="IFN7" s="20"/>
      <c r="IFO7" s="20"/>
      <c r="IFP7" s="20"/>
      <c r="IFQ7" s="20"/>
      <c r="IFR7" s="20"/>
      <c r="IFS7" s="20"/>
      <c r="IFT7" s="20"/>
      <c r="IFU7" s="20"/>
      <c r="IFV7" s="20"/>
      <c r="IFW7" s="20"/>
      <c r="IFX7" s="20"/>
      <c r="IFY7" s="20"/>
      <c r="IFZ7" s="20"/>
      <c r="IGA7" s="20"/>
      <c r="IGB7" s="20"/>
      <c r="IGC7" s="20"/>
      <c r="IGD7" s="20"/>
      <c r="IGE7" s="20"/>
      <c r="IGF7" s="20"/>
      <c r="IGG7" s="20"/>
      <c r="IGH7" s="20"/>
      <c r="IGI7" s="20"/>
      <c r="IGJ7" s="20"/>
      <c r="IGK7" s="20"/>
      <c r="IGL7" s="20"/>
      <c r="IGM7" s="20"/>
      <c r="IGN7" s="20"/>
      <c r="IGO7" s="20"/>
      <c r="IGP7" s="20"/>
      <c r="IGQ7" s="20"/>
      <c r="IGR7" s="20"/>
      <c r="IGS7" s="20"/>
      <c r="IGT7" s="20"/>
      <c r="IGU7" s="20"/>
      <c r="IGV7" s="20"/>
      <c r="IGW7" s="20"/>
      <c r="IGX7" s="20"/>
      <c r="IGY7" s="20"/>
      <c r="IGZ7" s="20"/>
      <c r="IHA7" s="20"/>
      <c r="IHB7" s="20"/>
      <c r="IHC7" s="20"/>
      <c r="IHD7" s="20"/>
      <c r="IHE7" s="20"/>
      <c r="IHF7" s="20"/>
      <c r="IHG7" s="20"/>
      <c r="IHH7" s="20"/>
      <c r="IHI7" s="20"/>
      <c r="IHJ7" s="20"/>
      <c r="IHK7" s="20"/>
      <c r="IHL7" s="20"/>
      <c r="IHM7" s="20"/>
      <c r="IHN7" s="20"/>
      <c r="IHO7" s="20"/>
      <c r="IHP7" s="20"/>
      <c r="IHQ7" s="20"/>
      <c r="IHR7" s="20"/>
      <c r="IHS7" s="20"/>
      <c r="IHT7" s="20"/>
      <c r="IHU7" s="20"/>
      <c r="IHV7" s="20"/>
      <c r="IHW7" s="20"/>
      <c r="IHX7" s="20"/>
      <c r="IHY7" s="20"/>
      <c r="IHZ7" s="20"/>
      <c r="IIA7" s="20"/>
      <c r="IIB7" s="20"/>
      <c r="IIC7" s="20"/>
      <c r="IID7" s="20"/>
      <c r="IIE7" s="20"/>
      <c r="IIF7" s="20"/>
      <c r="IIG7" s="20"/>
      <c r="IIH7" s="20"/>
      <c r="III7" s="20"/>
      <c r="IIJ7" s="20"/>
      <c r="IIK7" s="20"/>
      <c r="IIL7" s="20"/>
      <c r="IIM7" s="20"/>
      <c r="IIN7" s="20"/>
      <c r="IIO7" s="20"/>
      <c r="IIP7" s="20"/>
      <c r="IIQ7" s="20"/>
      <c r="IIR7" s="20"/>
      <c r="IIS7" s="20"/>
      <c r="IIT7" s="20"/>
      <c r="IIU7" s="20"/>
      <c r="IIV7" s="20"/>
      <c r="IIW7" s="20"/>
      <c r="IIX7" s="20"/>
      <c r="IIY7" s="20"/>
      <c r="IIZ7" s="20"/>
      <c r="IJA7" s="20"/>
      <c r="IJB7" s="20"/>
      <c r="IJC7" s="20"/>
      <c r="IJD7" s="20"/>
      <c r="IJE7" s="20"/>
      <c r="IJF7" s="20"/>
      <c r="IJG7" s="20"/>
      <c r="IJH7" s="20"/>
      <c r="IJI7" s="20"/>
      <c r="IJJ7" s="20"/>
      <c r="IJK7" s="20"/>
      <c r="IJL7" s="20"/>
      <c r="IJM7" s="20"/>
      <c r="IJN7" s="20"/>
      <c r="IJO7" s="20"/>
      <c r="IJP7" s="20"/>
      <c r="IJQ7" s="20"/>
      <c r="IJR7" s="20"/>
      <c r="IJS7" s="20"/>
      <c r="IJT7" s="20"/>
      <c r="IJU7" s="20"/>
      <c r="IJV7" s="20"/>
      <c r="IJW7" s="20"/>
      <c r="IJX7" s="20"/>
      <c r="IJY7" s="20"/>
      <c r="IJZ7" s="20"/>
      <c r="IKA7" s="20"/>
      <c r="IKB7" s="20"/>
      <c r="IKC7" s="20"/>
      <c r="IKD7" s="20"/>
      <c r="IKE7" s="20"/>
      <c r="IKF7" s="20"/>
      <c r="IKG7" s="20"/>
      <c r="IKH7" s="20"/>
      <c r="IKI7" s="20"/>
      <c r="IKJ7" s="20"/>
      <c r="IKK7" s="20"/>
      <c r="IKL7" s="20"/>
      <c r="IKM7" s="20"/>
      <c r="IKN7" s="20"/>
      <c r="IKO7" s="20"/>
      <c r="IKP7" s="20"/>
      <c r="IKQ7" s="20"/>
      <c r="IKR7" s="20"/>
      <c r="IKS7" s="20"/>
      <c r="IKT7" s="20"/>
      <c r="IKU7" s="20"/>
      <c r="IKV7" s="20"/>
      <c r="IKW7" s="20"/>
      <c r="IKX7" s="20"/>
      <c r="IKY7" s="20"/>
      <c r="IKZ7" s="20"/>
      <c r="ILA7" s="20"/>
      <c r="ILB7" s="20"/>
      <c r="ILC7" s="20"/>
      <c r="ILD7" s="20"/>
      <c r="ILE7" s="20"/>
      <c r="ILF7" s="20"/>
      <c r="ILG7" s="20"/>
      <c r="ILH7" s="20"/>
      <c r="ILI7" s="20"/>
      <c r="ILJ7" s="20"/>
      <c r="ILK7" s="20"/>
      <c r="ILL7" s="20"/>
      <c r="ILM7" s="20"/>
      <c r="ILN7" s="20"/>
      <c r="ILO7" s="20"/>
      <c r="ILP7" s="20"/>
      <c r="ILQ7" s="20"/>
      <c r="ILR7" s="20"/>
      <c r="ILS7" s="20"/>
      <c r="ILT7" s="20"/>
      <c r="ILU7" s="20"/>
      <c r="ILV7" s="20"/>
      <c r="ILW7" s="20"/>
      <c r="ILX7" s="20"/>
      <c r="ILY7" s="20"/>
      <c r="ILZ7" s="20"/>
      <c r="IMA7" s="20"/>
      <c r="IMB7" s="20"/>
      <c r="IMC7" s="20"/>
      <c r="IMD7" s="20"/>
      <c r="IME7" s="20"/>
      <c r="IMF7" s="20"/>
      <c r="IMG7" s="20"/>
      <c r="IMH7" s="20"/>
      <c r="IMI7" s="20"/>
      <c r="IMJ7" s="20"/>
      <c r="IMK7" s="20"/>
      <c r="IML7" s="20"/>
      <c r="IMM7" s="20"/>
      <c r="IMN7" s="20"/>
      <c r="IMO7" s="20"/>
      <c r="IMP7" s="20"/>
      <c r="IMQ7" s="20"/>
      <c r="IMR7" s="20"/>
      <c r="IMS7" s="20"/>
      <c r="IMT7" s="20"/>
      <c r="IMU7" s="20"/>
      <c r="IMV7" s="20"/>
      <c r="IMW7" s="20"/>
      <c r="IMX7" s="20"/>
      <c r="IMY7" s="20"/>
      <c r="IMZ7" s="20"/>
      <c r="INA7" s="20"/>
      <c r="INB7" s="20"/>
      <c r="INC7" s="20"/>
      <c r="IND7" s="20"/>
      <c r="INE7" s="20"/>
      <c r="INF7" s="20"/>
      <c r="ING7" s="20"/>
      <c r="INH7" s="20"/>
      <c r="INI7" s="20"/>
      <c r="INJ7" s="20"/>
      <c r="INK7" s="20"/>
      <c r="INL7" s="20"/>
      <c r="INM7" s="20"/>
      <c r="INN7" s="20"/>
      <c r="INO7" s="20"/>
      <c r="INP7" s="20"/>
      <c r="INQ7" s="20"/>
      <c r="INR7" s="20"/>
      <c r="INS7" s="20"/>
      <c r="INT7" s="20"/>
      <c r="INU7" s="20"/>
      <c r="INV7" s="20"/>
      <c r="INW7" s="20"/>
      <c r="INX7" s="20"/>
      <c r="INY7" s="20"/>
      <c r="INZ7" s="20"/>
      <c r="IOA7" s="20"/>
      <c r="IOB7" s="20"/>
      <c r="IOC7" s="20"/>
      <c r="IOD7" s="20"/>
      <c r="IOE7" s="20"/>
      <c r="IOF7" s="20"/>
      <c r="IOG7" s="20"/>
      <c r="IOH7" s="20"/>
      <c r="IOI7" s="20"/>
      <c r="IOJ7" s="20"/>
      <c r="IOK7" s="20"/>
      <c r="IOL7" s="20"/>
      <c r="IOM7" s="20"/>
      <c r="ION7" s="20"/>
      <c r="IOO7" s="20"/>
      <c r="IOP7" s="20"/>
      <c r="IOQ7" s="20"/>
      <c r="IOR7" s="20"/>
      <c r="IOS7" s="20"/>
      <c r="IOT7" s="20"/>
      <c r="IOU7" s="20"/>
      <c r="IOV7" s="20"/>
      <c r="IOW7" s="20"/>
      <c r="IOX7" s="20"/>
      <c r="IOY7" s="20"/>
      <c r="IOZ7" s="20"/>
      <c r="IPA7" s="20"/>
      <c r="IPB7" s="20"/>
      <c r="IPC7" s="20"/>
      <c r="IPD7" s="20"/>
      <c r="IPE7" s="20"/>
      <c r="IPF7" s="20"/>
      <c r="IPG7" s="20"/>
      <c r="IPH7" s="20"/>
      <c r="IPI7" s="20"/>
      <c r="IPJ7" s="20"/>
      <c r="IPK7" s="20"/>
      <c r="IPL7" s="20"/>
      <c r="IPM7" s="20"/>
      <c r="IPN7" s="20"/>
      <c r="IPO7" s="20"/>
      <c r="IPP7" s="20"/>
      <c r="IPQ7" s="20"/>
      <c r="IPR7" s="20"/>
      <c r="IPS7" s="20"/>
      <c r="IPT7" s="20"/>
      <c r="IPU7" s="20"/>
      <c r="IPV7" s="20"/>
      <c r="IPW7" s="20"/>
      <c r="IPX7" s="20"/>
      <c r="IPY7" s="20"/>
      <c r="IPZ7" s="20"/>
      <c r="IQA7" s="20"/>
      <c r="IQB7" s="20"/>
      <c r="IQC7" s="20"/>
      <c r="IQD7" s="20"/>
      <c r="IQE7" s="20"/>
      <c r="IQF7" s="20"/>
      <c r="IQG7" s="20"/>
      <c r="IQH7" s="20"/>
      <c r="IQI7" s="20"/>
      <c r="IQJ7" s="20"/>
      <c r="IQK7" s="20"/>
      <c r="IQL7" s="20"/>
      <c r="IQM7" s="20"/>
      <c r="IQN7" s="20"/>
      <c r="IQO7" s="20"/>
      <c r="IQP7" s="20"/>
      <c r="IQQ7" s="20"/>
      <c r="IQR7" s="20"/>
      <c r="IQS7" s="20"/>
      <c r="IQT7" s="20"/>
      <c r="IQU7" s="20"/>
      <c r="IQV7" s="20"/>
      <c r="IQW7" s="20"/>
      <c r="IQX7" s="20"/>
      <c r="IQY7" s="20"/>
      <c r="IQZ7" s="20"/>
      <c r="IRA7" s="20"/>
      <c r="IRB7" s="20"/>
      <c r="IRC7" s="20"/>
      <c r="IRD7" s="20"/>
      <c r="IRE7" s="20"/>
      <c r="IRF7" s="20"/>
      <c r="IRG7" s="20"/>
      <c r="IRH7" s="20"/>
      <c r="IRI7" s="20"/>
      <c r="IRJ7" s="20"/>
      <c r="IRK7" s="20"/>
      <c r="IRL7" s="20"/>
      <c r="IRM7" s="20"/>
      <c r="IRN7" s="20"/>
      <c r="IRO7" s="20"/>
      <c r="IRP7" s="20"/>
      <c r="IRQ7" s="20"/>
      <c r="IRR7" s="20"/>
      <c r="IRS7" s="20"/>
      <c r="IRT7" s="20"/>
      <c r="IRU7" s="20"/>
      <c r="IRV7" s="20"/>
      <c r="IRW7" s="20"/>
      <c r="IRX7" s="20"/>
      <c r="IRY7" s="20"/>
      <c r="IRZ7" s="20"/>
      <c r="ISA7" s="20"/>
      <c r="ISB7" s="20"/>
      <c r="ISC7" s="20"/>
      <c r="ISD7" s="20"/>
      <c r="ISE7" s="20"/>
      <c r="ISF7" s="20"/>
      <c r="ISG7" s="20"/>
      <c r="ISH7" s="20"/>
      <c r="ISI7" s="20"/>
      <c r="ISJ7" s="20"/>
      <c r="ISK7" s="20"/>
      <c r="ISL7" s="20"/>
      <c r="ISM7" s="20"/>
      <c r="ISN7" s="20"/>
      <c r="ISO7" s="20"/>
      <c r="ISP7" s="20"/>
      <c r="ISQ7" s="20"/>
      <c r="ISR7" s="20"/>
      <c r="ISS7" s="20"/>
      <c r="IST7" s="20"/>
      <c r="ISU7" s="20"/>
      <c r="ISV7" s="20"/>
      <c r="ISW7" s="20"/>
      <c r="ISX7" s="20"/>
      <c r="ISY7" s="20"/>
      <c r="ISZ7" s="20"/>
      <c r="ITA7" s="20"/>
      <c r="ITB7" s="20"/>
      <c r="ITC7" s="20"/>
      <c r="ITD7" s="20"/>
      <c r="ITE7" s="20"/>
      <c r="ITF7" s="20"/>
      <c r="ITG7" s="20"/>
      <c r="ITH7" s="20"/>
      <c r="ITI7" s="20"/>
      <c r="ITJ7" s="20"/>
      <c r="ITK7" s="20"/>
      <c r="ITL7" s="20"/>
      <c r="ITM7" s="20"/>
      <c r="ITN7" s="20"/>
      <c r="ITO7" s="20"/>
      <c r="ITP7" s="20"/>
      <c r="ITQ7" s="20"/>
      <c r="ITR7" s="20"/>
      <c r="ITS7" s="20"/>
      <c r="ITT7" s="20"/>
      <c r="ITU7" s="20"/>
      <c r="ITV7" s="20"/>
      <c r="ITW7" s="20"/>
      <c r="ITX7" s="20"/>
      <c r="ITY7" s="20"/>
      <c r="ITZ7" s="20"/>
      <c r="IUA7" s="20"/>
      <c r="IUB7" s="20"/>
      <c r="IUC7" s="20"/>
      <c r="IUD7" s="20"/>
      <c r="IUE7" s="20"/>
      <c r="IUF7" s="20"/>
      <c r="IUG7" s="20"/>
      <c r="IUH7" s="20"/>
      <c r="IUI7" s="20"/>
      <c r="IUJ7" s="20"/>
      <c r="IUK7" s="20"/>
      <c r="IUL7" s="20"/>
      <c r="IUM7" s="20"/>
      <c r="IUN7" s="20"/>
      <c r="IUO7" s="20"/>
      <c r="IUP7" s="20"/>
      <c r="IUQ7" s="20"/>
      <c r="IUR7" s="20"/>
      <c r="IUS7" s="20"/>
      <c r="IUT7" s="20"/>
      <c r="IUU7" s="20"/>
      <c r="IUV7" s="20"/>
      <c r="IUW7" s="20"/>
      <c r="IUX7" s="20"/>
      <c r="IUY7" s="20"/>
      <c r="IUZ7" s="20"/>
      <c r="IVA7" s="20"/>
      <c r="IVB7" s="20"/>
      <c r="IVC7" s="20"/>
      <c r="IVD7" s="20"/>
      <c r="IVE7" s="20"/>
      <c r="IVF7" s="20"/>
      <c r="IVG7" s="20"/>
      <c r="IVH7" s="20"/>
      <c r="IVI7" s="20"/>
      <c r="IVJ7" s="20"/>
      <c r="IVK7" s="20"/>
      <c r="IVL7" s="20"/>
      <c r="IVM7" s="20"/>
      <c r="IVN7" s="20"/>
      <c r="IVO7" s="20"/>
      <c r="IVP7" s="20"/>
      <c r="IVQ7" s="20"/>
      <c r="IVR7" s="20"/>
      <c r="IVS7" s="20"/>
      <c r="IVT7" s="20"/>
      <c r="IVU7" s="20"/>
      <c r="IVV7" s="20"/>
      <c r="IVW7" s="20"/>
      <c r="IVX7" s="20"/>
      <c r="IVY7" s="20"/>
      <c r="IVZ7" s="20"/>
      <c r="IWA7" s="20"/>
      <c r="IWB7" s="20"/>
      <c r="IWC7" s="20"/>
      <c r="IWD7" s="20"/>
      <c r="IWE7" s="20"/>
      <c r="IWF7" s="20"/>
      <c r="IWG7" s="20"/>
      <c r="IWH7" s="20"/>
      <c r="IWI7" s="20"/>
      <c r="IWJ7" s="20"/>
      <c r="IWK7" s="20"/>
      <c r="IWL7" s="20"/>
      <c r="IWM7" s="20"/>
      <c r="IWN7" s="20"/>
      <c r="IWO7" s="20"/>
      <c r="IWP7" s="20"/>
      <c r="IWQ7" s="20"/>
      <c r="IWR7" s="20"/>
      <c r="IWS7" s="20"/>
      <c r="IWT7" s="20"/>
      <c r="IWU7" s="20"/>
      <c r="IWV7" s="20"/>
      <c r="IWW7" s="20"/>
      <c r="IWX7" s="20"/>
      <c r="IWY7" s="20"/>
      <c r="IWZ7" s="20"/>
      <c r="IXA7" s="20"/>
      <c r="IXB7" s="20"/>
      <c r="IXC7" s="20"/>
      <c r="IXD7" s="20"/>
      <c r="IXE7" s="20"/>
      <c r="IXF7" s="20"/>
      <c r="IXG7" s="20"/>
      <c r="IXH7" s="20"/>
      <c r="IXI7" s="20"/>
      <c r="IXJ7" s="20"/>
      <c r="IXK7" s="20"/>
      <c r="IXL7" s="20"/>
      <c r="IXM7" s="20"/>
      <c r="IXN7" s="20"/>
      <c r="IXO7" s="20"/>
      <c r="IXP7" s="20"/>
      <c r="IXQ7" s="20"/>
      <c r="IXR7" s="20"/>
      <c r="IXS7" s="20"/>
      <c r="IXT7" s="20"/>
      <c r="IXU7" s="20"/>
      <c r="IXV7" s="20"/>
      <c r="IXW7" s="20"/>
      <c r="IXX7" s="20"/>
      <c r="IXY7" s="20"/>
      <c r="IXZ7" s="20"/>
      <c r="IYA7" s="20"/>
      <c r="IYB7" s="20"/>
      <c r="IYC7" s="20"/>
      <c r="IYD7" s="20"/>
      <c r="IYE7" s="20"/>
      <c r="IYF7" s="20"/>
      <c r="IYG7" s="20"/>
      <c r="IYH7" s="20"/>
      <c r="IYI7" s="20"/>
      <c r="IYJ7" s="20"/>
      <c r="IYK7" s="20"/>
      <c r="IYL7" s="20"/>
      <c r="IYM7" s="20"/>
      <c r="IYN7" s="20"/>
      <c r="IYO7" s="20"/>
      <c r="IYP7" s="20"/>
      <c r="IYQ7" s="20"/>
      <c r="IYR7" s="20"/>
      <c r="IYS7" s="20"/>
      <c r="IYT7" s="20"/>
      <c r="IYU7" s="20"/>
      <c r="IYV7" s="20"/>
      <c r="IYW7" s="20"/>
      <c r="IYX7" s="20"/>
      <c r="IYY7" s="20"/>
      <c r="IYZ7" s="20"/>
      <c r="IZA7" s="20"/>
      <c r="IZB7" s="20"/>
      <c r="IZC7" s="20"/>
      <c r="IZD7" s="20"/>
      <c r="IZE7" s="20"/>
      <c r="IZF7" s="20"/>
      <c r="IZG7" s="20"/>
      <c r="IZH7" s="20"/>
      <c r="IZI7" s="20"/>
      <c r="IZJ7" s="20"/>
      <c r="IZK7" s="20"/>
      <c r="IZL7" s="20"/>
      <c r="IZM7" s="20"/>
      <c r="IZN7" s="20"/>
      <c r="IZO7" s="20"/>
      <c r="IZP7" s="20"/>
      <c r="IZQ7" s="20"/>
      <c r="IZR7" s="20"/>
      <c r="IZS7" s="20"/>
      <c r="IZT7" s="20"/>
      <c r="IZU7" s="20"/>
      <c r="IZV7" s="20"/>
      <c r="IZW7" s="20"/>
      <c r="IZX7" s="20"/>
      <c r="IZY7" s="20"/>
      <c r="IZZ7" s="20"/>
      <c r="JAA7" s="20"/>
      <c r="JAB7" s="20"/>
      <c r="JAC7" s="20"/>
      <c r="JAD7" s="20"/>
      <c r="JAE7" s="20"/>
      <c r="JAF7" s="20"/>
      <c r="JAG7" s="20"/>
      <c r="JAH7" s="20"/>
      <c r="JAI7" s="20"/>
      <c r="JAJ7" s="20"/>
      <c r="JAK7" s="20"/>
      <c r="JAL7" s="20"/>
      <c r="JAM7" s="20"/>
      <c r="JAN7" s="20"/>
      <c r="JAO7" s="20"/>
      <c r="JAP7" s="20"/>
      <c r="JAQ7" s="20"/>
      <c r="JAR7" s="20"/>
      <c r="JAS7" s="20"/>
      <c r="JAT7" s="20"/>
      <c r="JAU7" s="20"/>
      <c r="JAV7" s="20"/>
      <c r="JAW7" s="20"/>
      <c r="JAX7" s="20"/>
      <c r="JAY7" s="20"/>
      <c r="JAZ7" s="20"/>
      <c r="JBA7" s="20"/>
      <c r="JBB7" s="20"/>
      <c r="JBC7" s="20"/>
      <c r="JBD7" s="20"/>
      <c r="JBE7" s="20"/>
      <c r="JBF7" s="20"/>
      <c r="JBG7" s="20"/>
      <c r="JBH7" s="20"/>
      <c r="JBI7" s="20"/>
      <c r="JBJ7" s="20"/>
      <c r="JBK7" s="20"/>
      <c r="JBL7" s="20"/>
      <c r="JBM7" s="20"/>
      <c r="JBN7" s="20"/>
      <c r="JBO7" s="20"/>
      <c r="JBP7" s="20"/>
      <c r="JBQ7" s="20"/>
      <c r="JBR7" s="20"/>
      <c r="JBS7" s="20"/>
      <c r="JBT7" s="20"/>
      <c r="JBU7" s="20"/>
      <c r="JBV7" s="20"/>
      <c r="JBW7" s="20"/>
      <c r="JBX7" s="20"/>
      <c r="JBY7" s="20"/>
      <c r="JBZ7" s="20"/>
      <c r="JCA7" s="20"/>
      <c r="JCB7" s="20"/>
      <c r="JCC7" s="20"/>
      <c r="JCD7" s="20"/>
      <c r="JCE7" s="20"/>
      <c r="JCF7" s="20"/>
      <c r="JCG7" s="20"/>
      <c r="JCH7" s="20"/>
      <c r="JCI7" s="20"/>
      <c r="JCJ7" s="20"/>
      <c r="JCK7" s="20"/>
      <c r="JCL7" s="20"/>
      <c r="JCM7" s="20"/>
      <c r="JCN7" s="20"/>
      <c r="JCO7" s="20"/>
      <c r="JCP7" s="20"/>
      <c r="JCQ7" s="20"/>
      <c r="JCR7" s="20"/>
      <c r="JCS7" s="20"/>
      <c r="JCT7" s="20"/>
      <c r="JCU7" s="20"/>
      <c r="JCV7" s="20"/>
      <c r="JCW7" s="20"/>
      <c r="JCX7" s="20"/>
      <c r="JCY7" s="20"/>
      <c r="JCZ7" s="20"/>
      <c r="JDA7" s="20"/>
      <c r="JDB7" s="20"/>
      <c r="JDC7" s="20"/>
      <c r="JDD7" s="20"/>
      <c r="JDE7" s="20"/>
      <c r="JDF7" s="20"/>
      <c r="JDG7" s="20"/>
      <c r="JDH7" s="20"/>
      <c r="JDI7" s="20"/>
      <c r="JDJ7" s="20"/>
      <c r="JDK7" s="20"/>
      <c r="JDL7" s="20"/>
      <c r="JDM7" s="20"/>
      <c r="JDN7" s="20"/>
      <c r="JDO7" s="20"/>
      <c r="JDP7" s="20"/>
      <c r="JDQ7" s="20"/>
      <c r="JDR7" s="20"/>
      <c r="JDS7" s="20"/>
      <c r="JDT7" s="20"/>
      <c r="JDU7" s="20"/>
      <c r="JDV7" s="20"/>
      <c r="JDW7" s="20"/>
      <c r="JDX7" s="20"/>
      <c r="JDY7" s="20"/>
      <c r="JDZ7" s="20"/>
      <c r="JEA7" s="20"/>
      <c r="JEB7" s="20"/>
      <c r="JEC7" s="20"/>
      <c r="JED7" s="20"/>
      <c r="JEE7" s="20"/>
      <c r="JEF7" s="20"/>
      <c r="JEG7" s="20"/>
      <c r="JEH7" s="20"/>
      <c r="JEI7" s="20"/>
      <c r="JEJ7" s="20"/>
      <c r="JEK7" s="20"/>
      <c r="JEL7" s="20"/>
      <c r="JEM7" s="20"/>
      <c r="JEN7" s="20"/>
      <c r="JEO7" s="20"/>
      <c r="JEP7" s="20"/>
      <c r="JEQ7" s="20"/>
      <c r="JER7" s="20"/>
      <c r="JES7" s="20"/>
      <c r="JET7" s="20"/>
      <c r="JEU7" s="20"/>
      <c r="JEV7" s="20"/>
      <c r="JEW7" s="20"/>
      <c r="JEX7" s="20"/>
      <c r="JEY7" s="20"/>
      <c r="JEZ7" s="20"/>
      <c r="JFA7" s="20"/>
      <c r="JFB7" s="20"/>
      <c r="JFC7" s="20"/>
      <c r="JFD7" s="20"/>
      <c r="JFE7" s="20"/>
      <c r="JFF7" s="20"/>
      <c r="JFG7" s="20"/>
      <c r="JFH7" s="20"/>
      <c r="JFI7" s="20"/>
      <c r="JFJ7" s="20"/>
      <c r="JFK7" s="20"/>
      <c r="JFL7" s="20"/>
      <c r="JFM7" s="20"/>
      <c r="JFN7" s="20"/>
      <c r="JFO7" s="20"/>
      <c r="JFP7" s="20"/>
      <c r="JFQ7" s="20"/>
      <c r="JFR7" s="20"/>
      <c r="JFS7" s="20"/>
      <c r="JFT7" s="20"/>
      <c r="JFU7" s="20"/>
      <c r="JFV7" s="20"/>
      <c r="JFW7" s="20"/>
      <c r="JFX7" s="20"/>
      <c r="JFY7" s="20"/>
      <c r="JFZ7" s="20"/>
      <c r="JGA7" s="20"/>
      <c r="JGB7" s="20"/>
      <c r="JGC7" s="20"/>
      <c r="JGD7" s="20"/>
      <c r="JGE7" s="20"/>
      <c r="JGF7" s="20"/>
      <c r="JGG7" s="20"/>
      <c r="JGH7" s="20"/>
      <c r="JGI7" s="20"/>
      <c r="JGJ7" s="20"/>
      <c r="JGK7" s="20"/>
      <c r="JGL7" s="20"/>
      <c r="JGM7" s="20"/>
      <c r="JGN7" s="20"/>
      <c r="JGO7" s="20"/>
      <c r="JGP7" s="20"/>
      <c r="JGQ7" s="20"/>
      <c r="JGR7" s="20"/>
      <c r="JGS7" s="20"/>
      <c r="JGT7" s="20"/>
      <c r="JGU7" s="20"/>
      <c r="JGV7" s="20"/>
      <c r="JGW7" s="20"/>
      <c r="JGX7" s="20"/>
      <c r="JGY7" s="20"/>
      <c r="JGZ7" s="20"/>
      <c r="JHA7" s="20"/>
      <c r="JHB7" s="20"/>
      <c r="JHC7" s="20"/>
      <c r="JHD7" s="20"/>
      <c r="JHE7" s="20"/>
      <c r="JHF7" s="20"/>
      <c r="JHG7" s="20"/>
      <c r="JHH7" s="20"/>
      <c r="JHI7" s="20"/>
      <c r="JHJ7" s="20"/>
      <c r="JHK7" s="20"/>
      <c r="JHL7" s="20"/>
      <c r="JHM7" s="20"/>
      <c r="JHN7" s="20"/>
      <c r="JHO7" s="20"/>
      <c r="JHP7" s="20"/>
      <c r="JHQ7" s="20"/>
      <c r="JHR7" s="20"/>
      <c r="JHS7" s="20"/>
      <c r="JHT7" s="20"/>
      <c r="JHU7" s="20"/>
      <c r="JHV7" s="20"/>
      <c r="JHW7" s="20"/>
      <c r="JHX7" s="20"/>
      <c r="JHY7" s="20"/>
      <c r="JHZ7" s="20"/>
      <c r="JIA7" s="20"/>
      <c r="JIB7" s="20"/>
      <c r="JIC7" s="20"/>
      <c r="JID7" s="20"/>
      <c r="JIE7" s="20"/>
      <c r="JIF7" s="20"/>
      <c r="JIG7" s="20"/>
      <c r="JIH7" s="20"/>
      <c r="JII7" s="20"/>
      <c r="JIJ7" s="20"/>
      <c r="JIK7" s="20"/>
      <c r="JIL7" s="20"/>
      <c r="JIM7" s="20"/>
      <c r="JIN7" s="20"/>
      <c r="JIO7" s="20"/>
      <c r="JIP7" s="20"/>
      <c r="JIQ7" s="20"/>
      <c r="JIR7" s="20"/>
      <c r="JIS7" s="20"/>
      <c r="JIT7" s="20"/>
      <c r="JIU7" s="20"/>
      <c r="JIV7" s="20"/>
      <c r="JIW7" s="20"/>
      <c r="JIX7" s="20"/>
      <c r="JIY7" s="20"/>
      <c r="JIZ7" s="20"/>
      <c r="JJA7" s="20"/>
      <c r="JJB7" s="20"/>
      <c r="JJC7" s="20"/>
      <c r="JJD7" s="20"/>
      <c r="JJE7" s="20"/>
      <c r="JJF7" s="20"/>
      <c r="JJG7" s="20"/>
      <c r="JJH7" s="20"/>
      <c r="JJI7" s="20"/>
      <c r="JJJ7" s="20"/>
      <c r="JJK7" s="20"/>
      <c r="JJL7" s="20"/>
      <c r="JJM7" s="20"/>
      <c r="JJN7" s="20"/>
      <c r="JJO7" s="20"/>
      <c r="JJP7" s="20"/>
      <c r="JJQ7" s="20"/>
      <c r="JJR7" s="20"/>
      <c r="JJS7" s="20"/>
      <c r="JJT7" s="20"/>
      <c r="JJU7" s="20"/>
      <c r="JJV7" s="20"/>
      <c r="JJW7" s="20"/>
      <c r="JJX7" s="20"/>
      <c r="JJY7" s="20"/>
      <c r="JJZ7" s="20"/>
      <c r="JKA7" s="20"/>
      <c r="JKB7" s="20"/>
      <c r="JKC7" s="20"/>
      <c r="JKD7" s="20"/>
      <c r="JKE7" s="20"/>
      <c r="JKF7" s="20"/>
      <c r="JKG7" s="20"/>
      <c r="JKH7" s="20"/>
      <c r="JKI7" s="20"/>
      <c r="JKJ7" s="20"/>
      <c r="JKK7" s="20"/>
      <c r="JKL7" s="20"/>
      <c r="JKM7" s="20"/>
      <c r="JKN7" s="20"/>
      <c r="JKO7" s="20"/>
      <c r="JKP7" s="20"/>
      <c r="JKQ7" s="20"/>
      <c r="JKR7" s="20"/>
      <c r="JKS7" s="20"/>
      <c r="JKT7" s="20"/>
      <c r="JKU7" s="20"/>
      <c r="JKV7" s="20"/>
      <c r="JKW7" s="20"/>
      <c r="JKX7" s="20"/>
      <c r="JKY7" s="20"/>
      <c r="JKZ7" s="20"/>
      <c r="JLA7" s="20"/>
      <c r="JLB7" s="20"/>
      <c r="JLC7" s="20"/>
      <c r="JLD7" s="20"/>
      <c r="JLE7" s="20"/>
      <c r="JLF7" s="20"/>
      <c r="JLG7" s="20"/>
      <c r="JLH7" s="20"/>
      <c r="JLI7" s="20"/>
      <c r="JLJ7" s="20"/>
      <c r="JLK7" s="20"/>
      <c r="JLL7" s="20"/>
      <c r="JLM7" s="20"/>
      <c r="JLN7" s="20"/>
      <c r="JLO7" s="20"/>
      <c r="JLP7" s="20"/>
      <c r="JLQ7" s="20"/>
      <c r="JLR7" s="20"/>
      <c r="JLS7" s="20"/>
      <c r="JLT7" s="20"/>
      <c r="JLU7" s="20"/>
      <c r="JLV7" s="20"/>
      <c r="JLW7" s="20"/>
      <c r="JLX7" s="20"/>
      <c r="JLY7" s="20"/>
      <c r="JLZ7" s="20"/>
      <c r="JMA7" s="20"/>
      <c r="JMB7" s="20"/>
      <c r="JMC7" s="20"/>
      <c r="JMD7" s="20"/>
      <c r="JME7" s="20"/>
      <c r="JMF7" s="20"/>
      <c r="JMG7" s="20"/>
      <c r="JMH7" s="20"/>
      <c r="JMI7" s="20"/>
      <c r="JMJ7" s="20"/>
      <c r="JMK7" s="20"/>
      <c r="JML7" s="20"/>
      <c r="JMM7" s="20"/>
      <c r="JMN7" s="20"/>
      <c r="JMO7" s="20"/>
      <c r="JMP7" s="20"/>
      <c r="JMQ7" s="20"/>
      <c r="JMR7" s="20"/>
      <c r="JMS7" s="20"/>
      <c r="JMT7" s="20"/>
      <c r="JMU7" s="20"/>
      <c r="JMV7" s="20"/>
      <c r="JMW7" s="20"/>
      <c r="JMX7" s="20"/>
      <c r="JMY7" s="20"/>
      <c r="JMZ7" s="20"/>
      <c r="JNA7" s="20"/>
      <c r="JNB7" s="20"/>
      <c r="JNC7" s="20"/>
      <c r="JND7" s="20"/>
      <c r="JNE7" s="20"/>
      <c r="JNF7" s="20"/>
      <c r="JNG7" s="20"/>
      <c r="JNH7" s="20"/>
      <c r="JNI7" s="20"/>
      <c r="JNJ7" s="20"/>
      <c r="JNK7" s="20"/>
      <c r="JNL7" s="20"/>
      <c r="JNM7" s="20"/>
      <c r="JNN7" s="20"/>
      <c r="JNO7" s="20"/>
      <c r="JNP7" s="20"/>
      <c r="JNQ7" s="20"/>
      <c r="JNR7" s="20"/>
      <c r="JNS7" s="20"/>
      <c r="JNT7" s="20"/>
      <c r="JNU7" s="20"/>
      <c r="JNV7" s="20"/>
      <c r="JNW7" s="20"/>
      <c r="JNX7" s="20"/>
      <c r="JNY7" s="20"/>
      <c r="JNZ7" s="20"/>
      <c r="JOA7" s="20"/>
      <c r="JOB7" s="20"/>
      <c r="JOC7" s="20"/>
      <c r="JOD7" s="20"/>
      <c r="JOE7" s="20"/>
      <c r="JOF7" s="20"/>
      <c r="JOG7" s="20"/>
      <c r="JOH7" s="20"/>
      <c r="JOI7" s="20"/>
      <c r="JOJ7" s="20"/>
      <c r="JOK7" s="20"/>
      <c r="JOL7" s="20"/>
      <c r="JOM7" s="20"/>
      <c r="JON7" s="20"/>
      <c r="JOO7" s="20"/>
      <c r="JOP7" s="20"/>
      <c r="JOQ7" s="20"/>
      <c r="JOR7" s="20"/>
      <c r="JOS7" s="20"/>
      <c r="JOT7" s="20"/>
      <c r="JOU7" s="20"/>
      <c r="JOV7" s="20"/>
      <c r="JOW7" s="20"/>
      <c r="JOX7" s="20"/>
      <c r="JOY7" s="20"/>
      <c r="JOZ7" s="20"/>
      <c r="JPA7" s="20"/>
      <c r="JPB7" s="20"/>
      <c r="JPC7" s="20"/>
      <c r="JPD7" s="20"/>
      <c r="JPE7" s="20"/>
      <c r="JPF7" s="20"/>
      <c r="JPG7" s="20"/>
      <c r="JPH7" s="20"/>
      <c r="JPI7" s="20"/>
      <c r="JPJ7" s="20"/>
      <c r="JPK7" s="20"/>
      <c r="JPL7" s="20"/>
      <c r="JPM7" s="20"/>
      <c r="JPN7" s="20"/>
      <c r="JPO7" s="20"/>
      <c r="JPP7" s="20"/>
      <c r="JPQ7" s="20"/>
      <c r="JPR7" s="20"/>
      <c r="JPS7" s="20"/>
      <c r="JPT7" s="20"/>
      <c r="JPU7" s="20"/>
      <c r="JPV7" s="20"/>
      <c r="JPW7" s="20"/>
      <c r="JPX7" s="20"/>
      <c r="JPY7" s="20"/>
      <c r="JPZ7" s="20"/>
      <c r="JQA7" s="20"/>
      <c r="JQB7" s="20"/>
      <c r="JQC7" s="20"/>
      <c r="JQD7" s="20"/>
      <c r="JQE7" s="20"/>
      <c r="JQF7" s="20"/>
      <c r="JQG7" s="20"/>
      <c r="JQH7" s="20"/>
      <c r="JQI7" s="20"/>
      <c r="JQJ7" s="20"/>
      <c r="JQK7" s="20"/>
      <c r="JQL7" s="20"/>
      <c r="JQM7" s="20"/>
      <c r="JQN7" s="20"/>
      <c r="JQO7" s="20"/>
      <c r="JQP7" s="20"/>
      <c r="JQQ7" s="20"/>
      <c r="JQR7" s="20"/>
      <c r="JQS7" s="20"/>
      <c r="JQT7" s="20"/>
      <c r="JQU7" s="20"/>
      <c r="JQV7" s="20"/>
      <c r="JQW7" s="20"/>
      <c r="JQX7" s="20"/>
      <c r="JQY7" s="20"/>
      <c r="JQZ7" s="20"/>
      <c r="JRA7" s="20"/>
      <c r="JRB7" s="20"/>
      <c r="JRC7" s="20"/>
      <c r="JRD7" s="20"/>
      <c r="JRE7" s="20"/>
      <c r="JRF7" s="20"/>
      <c r="JRG7" s="20"/>
      <c r="JRH7" s="20"/>
      <c r="JRI7" s="20"/>
      <c r="JRJ7" s="20"/>
      <c r="JRK7" s="20"/>
      <c r="JRL7" s="20"/>
      <c r="JRM7" s="20"/>
      <c r="JRN7" s="20"/>
      <c r="JRO7" s="20"/>
      <c r="JRP7" s="20"/>
      <c r="JRQ7" s="20"/>
      <c r="JRR7" s="20"/>
      <c r="JRS7" s="20"/>
      <c r="JRT7" s="20"/>
      <c r="JRU7" s="20"/>
      <c r="JRV7" s="20"/>
      <c r="JRW7" s="20"/>
      <c r="JRX7" s="20"/>
      <c r="JRY7" s="20"/>
      <c r="JRZ7" s="20"/>
      <c r="JSA7" s="20"/>
      <c r="JSB7" s="20"/>
      <c r="JSC7" s="20"/>
      <c r="JSD7" s="20"/>
      <c r="JSE7" s="20"/>
      <c r="JSF7" s="20"/>
      <c r="JSG7" s="20"/>
      <c r="JSH7" s="20"/>
      <c r="JSI7" s="20"/>
      <c r="JSJ7" s="20"/>
      <c r="JSK7" s="20"/>
      <c r="JSL7" s="20"/>
      <c r="JSM7" s="20"/>
      <c r="JSN7" s="20"/>
      <c r="JSO7" s="20"/>
      <c r="JSP7" s="20"/>
      <c r="JSQ7" s="20"/>
      <c r="JSR7" s="20"/>
      <c r="JSS7" s="20"/>
      <c r="JST7" s="20"/>
      <c r="JSU7" s="20"/>
      <c r="JSV7" s="20"/>
      <c r="JSW7" s="20"/>
      <c r="JSX7" s="20"/>
      <c r="JSY7" s="20"/>
      <c r="JSZ7" s="20"/>
      <c r="JTA7" s="20"/>
      <c r="JTB7" s="20"/>
      <c r="JTC7" s="20"/>
      <c r="JTD7" s="20"/>
      <c r="JTE7" s="20"/>
      <c r="JTF7" s="20"/>
      <c r="JTG7" s="20"/>
      <c r="JTH7" s="20"/>
      <c r="JTI7" s="20"/>
      <c r="JTJ7" s="20"/>
      <c r="JTK7" s="20"/>
      <c r="JTL7" s="20"/>
      <c r="JTM7" s="20"/>
      <c r="JTN7" s="20"/>
      <c r="JTO7" s="20"/>
      <c r="JTP7" s="20"/>
      <c r="JTQ7" s="20"/>
      <c r="JTR7" s="20"/>
      <c r="JTS7" s="20"/>
      <c r="JTT7" s="20"/>
      <c r="JTU7" s="20"/>
      <c r="JTV7" s="20"/>
      <c r="JTW7" s="20"/>
      <c r="JTX7" s="20"/>
      <c r="JTY7" s="20"/>
      <c r="JTZ7" s="20"/>
      <c r="JUA7" s="20"/>
      <c r="JUB7" s="20"/>
      <c r="JUC7" s="20"/>
      <c r="JUD7" s="20"/>
      <c r="JUE7" s="20"/>
      <c r="JUF7" s="20"/>
      <c r="JUG7" s="20"/>
      <c r="JUH7" s="20"/>
      <c r="JUI7" s="20"/>
      <c r="JUJ7" s="20"/>
      <c r="JUK7" s="20"/>
      <c r="JUL7" s="20"/>
      <c r="JUM7" s="20"/>
      <c r="JUN7" s="20"/>
      <c r="JUO7" s="20"/>
      <c r="JUP7" s="20"/>
      <c r="JUQ7" s="20"/>
      <c r="JUR7" s="20"/>
      <c r="JUS7" s="20"/>
      <c r="JUT7" s="20"/>
      <c r="JUU7" s="20"/>
      <c r="JUV7" s="20"/>
      <c r="JUW7" s="20"/>
      <c r="JUX7" s="20"/>
      <c r="JUY7" s="20"/>
      <c r="JUZ7" s="20"/>
      <c r="JVA7" s="20"/>
      <c r="JVB7" s="20"/>
      <c r="JVC7" s="20"/>
      <c r="JVD7" s="20"/>
      <c r="JVE7" s="20"/>
      <c r="JVF7" s="20"/>
      <c r="JVG7" s="20"/>
      <c r="JVH7" s="20"/>
      <c r="JVI7" s="20"/>
      <c r="JVJ7" s="20"/>
      <c r="JVK7" s="20"/>
      <c r="JVL7" s="20"/>
      <c r="JVM7" s="20"/>
      <c r="JVN7" s="20"/>
      <c r="JVO7" s="20"/>
      <c r="JVP7" s="20"/>
      <c r="JVQ7" s="20"/>
      <c r="JVR7" s="20"/>
      <c r="JVS7" s="20"/>
      <c r="JVT7" s="20"/>
      <c r="JVU7" s="20"/>
      <c r="JVV7" s="20"/>
      <c r="JVW7" s="20"/>
      <c r="JVX7" s="20"/>
      <c r="JVY7" s="20"/>
      <c r="JVZ7" s="20"/>
      <c r="JWA7" s="20"/>
      <c r="JWB7" s="20"/>
      <c r="JWC7" s="20"/>
      <c r="JWD7" s="20"/>
      <c r="JWE7" s="20"/>
      <c r="JWF7" s="20"/>
      <c r="JWG7" s="20"/>
      <c r="JWH7" s="20"/>
      <c r="JWI7" s="20"/>
      <c r="JWJ7" s="20"/>
      <c r="JWK7" s="20"/>
      <c r="JWL7" s="20"/>
      <c r="JWM7" s="20"/>
      <c r="JWN7" s="20"/>
      <c r="JWO7" s="20"/>
      <c r="JWP7" s="20"/>
      <c r="JWQ7" s="20"/>
      <c r="JWR7" s="20"/>
      <c r="JWS7" s="20"/>
      <c r="JWT7" s="20"/>
      <c r="JWU7" s="20"/>
      <c r="JWV7" s="20"/>
      <c r="JWW7" s="20"/>
      <c r="JWX7" s="20"/>
      <c r="JWY7" s="20"/>
      <c r="JWZ7" s="20"/>
      <c r="JXA7" s="20"/>
      <c r="JXB7" s="20"/>
      <c r="JXC7" s="20"/>
      <c r="JXD7" s="20"/>
      <c r="JXE7" s="20"/>
      <c r="JXF7" s="20"/>
      <c r="JXG7" s="20"/>
      <c r="JXH7" s="20"/>
      <c r="JXI7" s="20"/>
      <c r="JXJ7" s="20"/>
      <c r="JXK7" s="20"/>
      <c r="JXL7" s="20"/>
      <c r="JXM7" s="20"/>
      <c r="JXN7" s="20"/>
      <c r="JXO7" s="20"/>
      <c r="JXP7" s="20"/>
      <c r="JXQ7" s="20"/>
      <c r="JXR7" s="20"/>
      <c r="JXS7" s="20"/>
      <c r="JXT7" s="20"/>
      <c r="JXU7" s="20"/>
      <c r="JXV7" s="20"/>
      <c r="JXW7" s="20"/>
      <c r="JXX7" s="20"/>
      <c r="JXY7" s="20"/>
      <c r="JXZ7" s="20"/>
      <c r="JYA7" s="20"/>
      <c r="JYB7" s="20"/>
      <c r="JYC7" s="20"/>
      <c r="JYD7" s="20"/>
      <c r="JYE7" s="20"/>
      <c r="JYF7" s="20"/>
      <c r="JYG7" s="20"/>
      <c r="JYH7" s="20"/>
      <c r="JYI7" s="20"/>
      <c r="JYJ7" s="20"/>
      <c r="JYK7" s="20"/>
      <c r="JYL7" s="20"/>
      <c r="JYM7" s="20"/>
      <c r="JYN7" s="20"/>
      <c r="JYO7" s="20"/>
      <c r="JYP7" s="20"/>
      <c r="JYQ7" s="20"/>
      <c r="JYR7" s="20"/>
      <c r="JYS7" s="20"/>
      <c r="JYT7" s="20"/>
      <c r="JYU7" s="20"/>
      <c r="JYV7" s="20"/>
      <c r="JYW7" s="20"/>
      <c r="JYX7" s="20"/>
      <c r="JYY7" s="20"/>
      <c r="JYZ7" s="20"/>
      <c r="JZA7" s="20"/>
      <c r="JZB7" s="20"/>
      <c r="JZC7" s="20"/>
      <c r="JZD7" s="20"/>
      <c r="JZE7" s="20"/>
      <c r="JZF7" s="20"/>
      <c r="JZG7" s="20"/>
      <c r="JZH7" s="20"/>
      <c r="JZI7" s="20"/>
      <c r="JZJ7" s="20"/>
      <c r="JZK7" s="20"/>
      <c r="JZL7" s="20"/>
      <c r="JZM7" s="20"/>
      <c r="JZN7" s="20"/>
      <c r="JZO7" s="20"/>
      <c r="JZP7" s="20"/>
      <c r="JZQ7" s="20"/>
      <c r="JZR7" s="20"/>
      <c r="JZS7" s="20"/>
      <c r="JZT7" s="20"/>
      <c r="JZU7" s="20"/>
      <c r="JZV7" s="20"/>
      <c r="JZW7" s="20"/>
      <c r="JZX7" s="20"/>
      <c r="JZY7" s="20"/>
      <c r="JZZ7" s="20"/>
      <c r="KAA7" s="20"/>
      <c r="KAB7" s="20"/>
      <c r="KAC7" s="20"/>
      <c r="KAD7" s="20"/>
      <c r="KAE7" s="20"/>
      <c r="KAF7" s="20"/>
      <c r="KAG7" s="20"/>
      <c r="KAH7" s="20"/>
      <c r="KAI7" s="20"/>
      <c r="KAJ7" s="20"/>
      <c r="KAK7" s="20"/>
      <c r="KAL7" s="20"/>
      <c r="KAM7" s="20"/>
      <c r="KAN7" s="20"/>
      <c r="KAO7" s="20"/>
      <c r="KAP7" s="20"/>
      <c r="KAQ7" s="20"/>
      <c r="KAR7" s="20"/>
      <c r="KAS7" s="20"/>
      <c r="KAT7" s="20"/>
      <c r="KAU7" s="20"/>
      <c r="KAV7" s="20"/>
      <c r="KAW7" s="20"/>
      <c r="KAX7" s="20"/>
      <c r="KAY7" s="20"/>
      <c r="KAZ7" s="20"/>
      <c r="KBA7" s="20"/>
      <c r="KBB7" s="20"/>
      <c r="KBC7" s="20"/>
      <c r="KBD7" s="20"/>
      <c r="KBE7" s="20"/>
      <c r="KBF7" s="20"/>
      <c r="KBG7" s="20"/>
      <c r="KBH7" s="20"/>
      <c r="KBI7" s="20"/>
      <c r="KBJ7" s="20"/>
      <c r="KBK7" s="20"/>
      <c r="KBL7" s="20"/>
      <c r="KBM7" s="20"/>
      <c r="KBN7" s="20"/>
      <c r="KBO7" s="20"/>
      <c r="KBP7" s="20"/>
      <c r="KBQ7" s="20"/>
      <c r="KBR7" s="20"/>
      <c r="KBS7" s="20"/>
      <c r="KBT7" s="20"/>
      <c r="KBU7" s="20"/>
      <c r="KBV7" s="20"/>
      <c r="KBW7" s="20"/>
      <c r="KBX7" s="20"/>
      <c r="KBY7" s="20"/>
      <c r="KBZ7" s="20"/>
      <c r="KCA7" s="20"/>
      <c r="KCB7" s="20"/>
      <c r="KCC7" s="20"/>
      <c r="KCD7" s="20"/>
      <c r="KCE7" s="20"/>
      <c r="KCF7" s="20"/>
      <c r="KCG7" s="20"/>
      <c r="KCH7" s="20"/>
      <c r="KCI7" s="20"/>
      <c r="KCJ7" s="20"/>
      <c r="KCK7" s="20"/>
      <c r="KCL7" s="20"/>
      <c r="KCM7" s="20"/>
      <c r="KCN7" s="20"/>
      <c r="KCO7" s="20"/>
      <c r="KCP7" s="20"/>
      <c r="KCQ7" s="20"/>
      <c r="KCR7" s="20"/>
      <c r="KCS7" s="20"/>
      <c r="KCT7" s="20"/>
      <c r="KCU7" s="20"/>
      <c r="KCV7" s="20"/>
      <c r="KCW7" s="20"/>
      <c r="KCX7" s="20"/>
      <c r="KCY7" s="20"/>
      <c r="KCZ7" s="20"/>
      <c r="KDA7" s="20"/>
      <c r="KDB7" s="20"/>
      <c r="KDC7" s="20"/>
      <c r="KDD7" s="20"/>
      <c r="KDE7" s="20"/>
      <c r="KDF7" s="20"/>
      <c r="KDG7" s="20"/>
      <c r="KDH7" s="20"/>
      <c r="KDI7" s="20"/>
      <c r="KDJ7" s="20"/>
      <c r="KDK7" s="20"/>
      <c r="KDL7" s="20"/>
      <c r="KDM7" s="20"/>
      <c r="KDN7" s="20"/>
      <c r="KDO7" s="20"/>
      <c r="KDP7" s="20"/>
      <c r="KDQ7" s="20"/>
      <c r="KDR7" s="20"/>
      <c r="KDS7" s="20"/>
      <c r="KDT7" s="20"/>
      <c r="KDU7" s="20"/>
      <c r="KDV7" s="20"/>
      <c r="KDW7" s="20"/>
      <c r="KDX7" s="20"/>
      <c r="KDY7" s="20"/>
      <c r="KDZ7" s="20"/>
      <c r="KEA7" s="20"/>
      <c r="KEB7" s="20"/>
      <c r="KEC7" s="20"/>
      <c r="KED7" s="20"/>
      <c r="KEE7" s="20"/>
      <c r="KEF7" s="20"/>
      <c r="KEG7" s="20"/>
      <c r="KEH7" s="20"/>
      <c r="KEI7" s="20"/>
      <c r="KEJ7" s="20"/>
      <c r="KEK7" s="20"/>
      <c r="KEL7" s="20"/>
      <c r="KEM7" s="20"/>
      <c r="KEN7" s="20"/>
      <c r="KEO7" s="20"/>
      <c r="KEP7" s="20"/>
      <c r="KEQ7" s="20"/>
      <c r="KER7" s="20"/>
      <c r="KES7" s="20"/>
      <c r="KET7" s="20"/>
      <c r="KEU7" s="20"/>
      <c r="KEV7" s="20"/>
      <c r="KEW7" s="20"/>
      <c r="KEX7" s="20"/>
      <c r="KEY7" s="20"/>
      <c r="KEZ7" s="20"/>
      <c r="KFA7" s="20"/>
      <c r="KFB7" s="20"/>
      <c r="KFC7" s="20"/>
      <c r="KFD7" s="20"/>
      <c r="KFE7" s="20"/>
      <c r="KFF7" s="20"/>
      <c r="KFG7" s="20"/>
      <c r="KFH7" s="20"/>
      <c r="KFI7" s="20"/>
      <c r="KFJ7" s="20"/>
      <c r="KFK7" s="20"/>
      <c r="KFL7" s="20"/>
      <c r="KFM7" s="20"/>
      <c r="KFN7" s="20"/>
      <c r="KFO7" s="20"/>
      <c r="KFP7" s="20"/>
      <c r="KFQ7" s="20"/>
      <c r="KFR7" s="20"/>
      <c r="KFS7" s="20"/>
      <c r="KFT7" s="20"/>
      <c r="KFU7" s="20"/>
      <c r="KFV7" s="20"/>
      <c r="KFW7" s="20"/>
      <c r="KFX7" s="20"/>
      <c r="KFY7" s="20"/>
      <c r="KFZ7" s="20"/>
      <c r="KGA7" s="20"/>
      <c r="KGB7" s="20"/>
      <c r="KGC7" s="20"/>
      <c r="KGD7" s="20"/>
      <c r="KGE7" s="20"/>
      <c r="KGF7" s="20"/>
      <c r="KGG7" s="20"/>
      <c r="KGH7" s="20"/>
      <c r="KGI7" s="20"/>
      <c r="KGJ7" s="20"/>
      <c r="KGK7" s="20"/>
      <c r="KGL7" s="20"/>
      <c r="KGM7" s="20"/>
      <c r="KGN7" s="20"/>
      <c r="KGO7" s="20"/>
      <c r="KGP7" s="20"/>
      <c r="KGQ7" s="20"/>
      <c r="KGR7" s="20"/>
      <c r="KGS7" s="20"/>
      <c r="KGT7" s="20"/>
      <c r="KGU7" s="20"/>
      <c r="KGV7" s="20"/>
      <c r="KGW7" s="20"/>
      <c r="KGX7" s="20"/>
      <c r="KGY7" s="20"/>
      <c r="KGZ7" s="20"/>
      <c r="KHA7" s="20"/>
      <c r="KHB7" s="20"/>
      <c r="KHC7" s="20"/>
      <c r="KHD7" s="20"/>
      <c r="KHE7" s="20"/>
      <c r="KHF7" s="20"/>
      <c r="KHG7" s="20"/>
      <c r="KHH7" s="20"/>
      <c r="KHI7" s="20"/>
      <c r="KHJ7" s="20"/>
      <c r="KHK7" s="20"/>
      <c r="KHL7" s="20"/>
      <c r="KHM7" s="20"/>
      <c r="KHN7" s="20"/>
      <c r="KHO7" s="20"/>
      <c r="KHP7" s="20"/>
      <c r="KHQ7" s="20"/>
      <c r="KHR7" s="20"/>
      <c r="KHS7" s="20"/>
      <c r="KHT7" s="20"/>
      <c r="KHU7" s="20"/>
      <c r="KHV7" s="20"/>
      <c r="KHW7" s="20"/>
      <c r="KHX7" s="20"/>
      <c r="KHY7" s="20"/>
      <c r="KHZ7" s="20"/>
      <c r="KIA7" s="20"/>
      <c r="KIB7" s="20"/>
      <c r="KIC7" s="20"/>
      <c r="KID7" s="20"/>
      <c r="KIE7" s="20"/>
      <c r="KIF7" s="20"/>
      <c r="KIG7" s="20"/>
      <c r="KIH7" s="20"/>
      <c r="KII7" s="20"/>
      <c r="KIJ7" s="20"/>
      <c r="KIK7" s="20"/>
      <c r="KIL7" s="20"/>
      <c r="KIM7" s="20"/>
      <c r="KIN7" s="20"/>
      <c r="KIO7" s="20"/>
      <c r="KIP7" s="20"/>
      <c r="KIQ7" s="20"/>
      <c r="KIR7" s="20"/>
      <c r="KIS7" s="20"/>
      <c r="KIT7" s="20"/>
      <c r="KIU7" s="20"/>
      <c r="KIV7" s="20"/>
      <c r="KIW7" s="20"/>
      <c r="KIX7" s="20"/>
      <c r="KIY7" s="20"/>
      <c r="KIZ7" s="20"/>
      <c r="KJA7" s="20"/>
      <c r="KJB7" s="20"/>
      <c r="KJC7" s="20"/>
      <c r="KJD7" s="20"/>
      <c r="KJE7" s="20"/>
      <c r="KJF7" s="20"/>
      <c r="KJG7" s="20"/>
      <c r="KJH7" s="20"/>
      <c r="KJI7" s="20"/>
      <c r="KJJ7" s="20"/>
      <c r="KJK7" s="20"/>
      <c r="KJL7" s="20"/>
      <c r="KJM7" s="20"/>
      <c r="KJN7" s="20"/>
      <c r="KJO7" s="20"/>
      <c r="KJP7" s="20"/>
      <c r="KJQ7" s="20"/>
      <c r="KJR7" s="20"/>
      <c r="KJS7" s="20"/>
      <c r="KJT7" s="20"/>
      <c r="KJU7" s="20"/>
      <c r="KJV7" s="20"/>
      <c r="KJW7" s="20"/>
      <c r="KJX7" s="20"/>
      <c r="KJY7" s="20"/>
      <c r="KJZ7" s="20"/>
      <c r="KKA7" s="20"/>
      <c r="KKB7" s="20"/>
      <c r="KKC7" s="20"/>
      <c r="KKD7" s="20"/>
      <c r="KKE7" s="20"/>
      <c r="KKF7" s="20"/>
      <c r="KKG7" s="20"/>
      <c r="KKH7" s="20"/>
      <c r="KKI7" s="20"/>
      <c r="KKJ7" s="20"/>
      <c r="KKK7" s="20"/>
      <c r="KKL7" s="20"/>
      <c r="KKM7" s="20"/>
      <c r="KKN7" s="20"/>
      <c r="KKO7" s="20"/>
      <c r="KKP7" s="20"/>
      <c r="KKQ7" s="20"/>
      <c r="KKR7" s="20"/>
      <c r="KKS7" s="20"/>
      <c r="KKT7" s="20"/>
      <c r="KKU7" s="20"/>
      <c r="KKV7" s="20"/>
      <c r="KKW7" s="20"/>
      <c r="KKX7" s="20"/>
      <c r="KKY7" s="20"/>
      <c r="KKZ7" s="20"/>
      <c r="KLA7" s="20"/>
      <c r="KLB7" s="20"/>
      <c r="KLC7" s="20"/>
      <c r="KLD7" s="20"/>
      <c r="KLE7" s="20"/>
      <c r="KLF7" s="20"/>
      <c r="KLG7" s="20"/>
      <c r="KLH7" s="20"/>
      <c r="KLI7" s="20"/>
      <c r="KLJ7" s="20"/>
      <c r="KLK7" s="20"/>
      <c r="KLL7" s="20"/>
      <c r="KLM7" s="20"/>
      <c r="KLN7" s="20"/>
      <c r="KLO7" s="20"/>
      <c r="KLP7" s="20"/>
      <c r="KLQ7" s="20"/>
      <c r="KLR7" s="20"/>
      <c r="KLS7" s="20"/>
      <c r="KLT7" s="20"/>
      <c r="KLU7" s="20"/>
      <c r="KLV7" s="20"/>
      <c r="KLW7" s="20"/>
      <c r="KLX7" s="20"/>
      <c r="KLY7" s="20"/>
      <c r="KLZ7" s="20"/>
      <c r="KMA7" s="20"/>
      <c r="KMB7" s="20"/>
      <c r="KMC7" s="20"/>
      <c r="KMD7" s="20"/>
      <c r="KME7" s="20"/>
      <c r="KMF7" s="20"/>
      <c r="KMG7" s="20"/>
      <c r="KMH7" s="20"/>
      <c r="KMI7" s="20"/>
      <c r="KMJ7" s="20"/>
      <c r="KMK7" s="20"/>
      <c r="KML7" s="20"/>
      <c r="KMM7" s="20"/>
      <c r="KMN7" s="20"/>
      <c r="KMO7" s="20"/>
      <c r="KMP7" s="20"/>
      <c r="KMQ7" s="20"/>
      <c r="KMR7" s="20"/>
      <c r="KMS7" s="20"/>
      <c r="KMT7" s="20"/>
      <c r="KMU7" s="20"/>
      <c r="KMV7" s="20"/>
      <c r="KMW7" s="20"/>
      <c r="KMX7" s="20"/>
      <c r="KMY7" s="20"/>
      <c r="KMZ7" s="20"/>
      <c r="KNA7" s="20"/>
      <c r="KNB7" s="20"/>
      <c r="KNC7" s="20"/>
      <c r="KND7" s="20"/>
      <c r="KNE7" s="20"/>
      <c r="KNF7" s="20"/>
      <c r="KNG7" s="20"/>
      <c r="KNH7" s="20"/>
      <c r="KNI7" s="20"/>
      <c r="KNJ7" s="20"/>
      <c r="KNK7" s="20"/>
      <c r="KNL7" s="20"/>
      <c r="KNM7" s="20"/>
      <c r="KNN7" s="20"/>
      <c r="KNO7" s="20"/>
      <c r="KNP7" s="20"/>
      <c r="KNQ7" s="20"/>
      <c r="KNR7" s="20"/>
      <c r="KNS7" s="20"/>
      <c r="KNT7" s="20"/>
      <c r="KNU7" s="20"/>
      <c r="KNV7" s="20"/>
      <c r="KNW7" s="20"/>
      <c r="KNX7" s="20"/>
      <c r="KNY7" s="20"/>
      <c r="KNZ7" s="20"/>
      <c r="KOA7" s="20"/>
      <c r="KOB7" s="20"/>
      <c r="KOC7" s="20"/>
      <c r="KOD7" s="20"/>
      <c r="KOE7" s="20"/>
      <c r="KOF7" s="20"/>
      <c r="KOG7" s="20"/>
      <c r="KOH7" s="20"/>
      <c r="KOI7" s="20"/>
      <c r="KOJ7" s="20"/>
      <c r="KOK7" s="20"/>
      <c r="KOL7" s="20"/>
      <c r="KOM7" s="20"/>
      <c r="KON7" s="20"/>
      <c r="KOO7" s="20"/>
      <c r="KOP7" s="20"/>
      <c r="KOQ7" s="20"/>
      <c r="KOR7" s="20"/>
      <c r="KOS7" s="20"/>
      <c r="KOT7" s="20"/>
      <c r="KOU7" s="20"/>
      <c r="KOV7" s="20"/>
      <c r="KOW7" s="20"/>
      <c r="KOX7" s="20"/>
      <c r="KOY7" s="20"/>
      <c r="KOZ7" s="20"/>
      <c r="KPA7" s="20"/>
      <c r="KPB7" s="20"/>
      <c r="KPC7" s="20"/>
      <c r="KPD7" s="20"/>
      <c r="KPE7" s="20"/>
      <c r="KPF7" s="20"/>
      <c r="KPG7" s="20"/>
      <c r="KPH7" s="20"/>
      <c r="KPI7" s="20"/>
      <c r="KPJ7" s="20"/>
      <c r="KPK7" s="20"/>
      <c r="KPL7" s="20"/>
      <c r="KPM7" s="20"/>
      <c r="KPN7" s="20"/>
      <c r="KPO7" s="20"/>
      <c r="KPP7" s="20"/>
      <c r="KPQ7" s="20"/>
      <c r="KPR7" s="20"/>
      <c r="KPS7" s="20"/>
      <c r="KPT7" s="20"/>
      <c r="KPU7" s="20"/>
      <c r="KPV7" s="20"/>
      <c r="KPW7" s="20"/>
      <c r="KPX7" s="20"/>
      <c r="KPY7" s="20"/>
      <c r="KPZ7" s="20"/>
      <c r="KQA7" s="20"/>
      <c r="KQB7" s="20"/>
      <c r="KQC7" s="20"/>
      <c r="KQD7" s="20"/>
      <c r="KQE7" s="20"/>
      <c r="KQF7" s="20"/>
      <c r="KQG7" s="20"/>
      <c r="KQH7" s="20"/>
      <c r="KQI7" s="20"/>
      <c r="KQJ7" s="20"/>
      <c r="KQK7" s="20"/>
      <c r="KQL7" s="20"/>
      <c r="KQM7" s="20"/>
      <c r="KQN7" s="20"/>
      <c r="KQO7" s="20"/>
      <c r="KQP7" s="20"/>
      <c r="KQQ7" s="20"/>
      <c r="KQR7" s="20"/>
      <c r="KQS7" s="20"/>
      <c r="KQT7" s="20"/>
      <c r="KQU7" s="20"/>
      <c r="KQV7" s="20"/>
      <c r="KQW7" s="20"/>
      <c r="KQX7" s="20"/>
      <c r="KQY7" s="20"/>
      <c r="KQZ7" s="20"/>
      <c r="KRA7" s="20"/>
      <c r="KRB7" s="20"/>
      <c r="KRC7" s="20"/>
      <c r="KRD7" s="20"/>
      <c r="KRE7" s="20"/>
      <c r="KRF7" s="20"/>
      <c r="KRG7" s="20"/>
      <c r="KRH7" s="20"/>
      <c r="KRI7" s="20"/>
      <c r="KRJ7" s="20"/>
      <c r="KRK7" s="20"/>
      <c r="KRL7" s="20"/>
      <c r="KRM7" s="20"/>
      <c r="KRN7" s="20"/>
      <c r="KRO7" s="20"/>
      <c r="KRP7" s="20"/>
      <c r="KRQ7" s="20"/>
      <c r="KRR7" s="20"/>
      <c r="KRS7" s="20"/>
      <c r="KRT7" s="20"/>
      <c r="KRU7" s="20"/>
      <c r="KRV7" s="20"/>
      <c r="KRW7" s="20"/>
      <c r="KRX7" s="20"/>
      <c r="KRY7" s="20"/>
      <c r="KRZ7" s="20"/>
      <c r="KSA7" s="20"/>
      <c r="KSB7" s="20"/>
      <c r="KSC7" s="20"/>
      <c r="KSD7" s="20"/>
      <c r="KSE7" s="20"/>
      <c r="KSF7" s="20"/>
      <c r="KSG7" s="20"/>
      <c r="KSH7" s="20"/>
      <c r="KSI7" s="20"/>
      <c r="KSJ7" s="20"/>
      <c r="KSK7" s="20"/>
      <c r="KSL7" s="20"/>
      <c r="KSM7" s="20"/>
      <c r="KSN7" s="20"/>
      <c r="KSO7" s="20"/>
      <c r="KSP7" s="20"/>
      <c r="KSQ7" s="20"/>
      <c r="KSR7" s="20"/>
      <c r="KSS7" s="20"/>
      <c r="KST7" s="20"/>
      <c r="KSU7" s="20"/>
      <c r="KSV7" s="20"/>
      <c r="KSW7" s="20"/>
      <c r="KSX7" s="20"/>
      <c r="KSY7" s="20"/>
      <c r="KSZ7" s="20"/>
      <c r="KTA7" s="20"/>
      <c r="KTB7" s="20"/>
      <c r="KTC7" s="20"/>
      <c r="KTD7" s="20"/>
      <c r="KTE7" s="20"/>
      <c r="KTF7" s="20"/>
      <c r="KTG7" s="20"/>
      <c r="KTH7" s="20"/>
      <c r="KTI7" s="20"/>
      <c r="KTJ7" s="20"/>
      <c r="KTK7" s="20"/>
      <c r="KTL7" s="20"/>
      <c r="KTM7" s="20"/>
      <c r="KTN7" s="20"/>
      <c r="KTO7" s="20"/>
      <c r="KTP7" s="20"/>
      <c r="KTQ7" s="20"/>
      <c r="KTR7" s="20"/>
      <c r="KTS7" s="20"/>
      <c r="KTT7" s="20"/>
      <c r="KTU7" s="20"/>
      <c r="KTV7" s="20"/>
      <c r="KTW7" s="20"/>
      <c r="KTX7" s="20"/>
      <c r="KTY7" s="20"/>
      <c r="KTZ7" s="20"/>
      <c r="KUA7" s="20"/>
      <c r="KUB7" s="20"/>
      <c r="KUC7" s="20"/>
      <c r="KUD7" s="20"/>
      <c r="KUE7" s="20"/>
      <c r="KUF7" s="20"/>
      <c r="KUG7" s="20"/>
      <c r="KUH7" s="20"/>
      <c r="KUI7" s="20"/>
      <c r="KUJ7" s="20"/>
      <c r="KUK7" s="20"/>
      <c r="KUL7" s="20"/>
      <c r="KUM7" s="20"/>
      <c r="KUN7" s="20"/>
      <c r="KUO7" s="20"/>
      <c r="KUP7" s="20"/>
      <c r="KUQ7" s="20"/>
      <c r="KUR7" s="20"/>
      <c r="KUS7" s="20"/>
      <c r="KUT7" s="20"/>
      <c r="KUU7" s="20"/>
      <c r="KUV7" s="20"/>
      <c r="KUW7" s="20"/>
      <c r="KUX7" s="20"/>
      <c r="KUY7" s="20"/>
      <c r="KUZ7" s="20"/>
      <c r="KVA7" s="20"/>
      <c r="KVB7" s="20"/>
      <c r="KVC7" s="20"/>
      <c r="KVD7" s="20"/>
      <c r="KVE7" s="20"/>
      <c r="KVF7" s="20"/>
      <c r="KVG7" s="20"/>
      <c r="KVH7" s="20"/>
      <c r="KVI7" s="20"/>
      <c r="KVJ7" s="20"/>
      <c r="KVK7" s="20"/>
      <c r="KVL7" s="20"/>
      <c r="KVM7" s="20"/>
      <c r="KVN7" s="20"/>
      <c r="KVO7" s="20"/>
      <c r="KVP7" s="20"/>
      <c r="KVQ7" s="20"/>
      <c r="KVR7" s="20"/>
      <c r="KVS7" s="20"/>
      <c r="KVT7" s="20"/>
      <c r="KVU7" s="20"/>
      <c r="KVV7" s="20"/>
      <c r="KVW7" s="20"/>
      <c r="KVX7" s="20"/>
      <c r="KVY7" s="20"/>
      <c r="KVZ7" s="20"/>
      <c r="KWA7" s="20"/>
      <c r="KWB7" s="20"/>
      <c r="KWC7" s="20"/>
      <c r="KWD7" s="20"/>
      <c r="KWE7" s="20"/>
      <c r="KWF7" s="20"/>
      <c r="KWG7" s="20"/>
      <c r="KWH7" s="20"/>
      <c r="KWI7" s="20"/>
      <c r="KWJ7" s="20"/>
      <c r="KWK7" s="20"/>
      <c r="KWL7" s="20"/>
      <c r="KWM7" s="20"/>
      <c r="KWN7" s="20"/>
      <c r="KWO7" s="20"/>
      <c r="KWP7" s="20"/>
      <c r="KWQ7" s="20"/>
      <c r="KWR7" s="20"/>
      <c r="KWS7" s="20"/>
      <c r="KWT7" s="20"/>
      <c r="KWU7" s="20"/>
      <c r="KWV7" s="20"/>
      <c r="KWW7" s="20"/>
      <c r="KWX7" s="20"/>
      <c r="KWY7" s="20"/>
      <c r="KWZ7" s="20"/>
      <c r="KXA7" s="20"/>
      <c r="KXB7" s="20"/>
      <c r="KXC7" s="20"/>
      <c r="KXD7" s="20"/>
      <c r="KXE7" s="20"/>
      <c r="KXF7" s="20"/>
      <c r="KXG7" s="20"/>
      <c r="KXH7" s="20"/>
      <c r="KXI7" s="20"/>
      <c r="KXJ7" s="20"/>
      <c r="KXK7" s="20"/>
      <c r="KXL7" s="20"/>
      <c r="KXM7" s="20"/>
      <c r="KXN7" s="20"/>
      <c r="KXO7" s="20"/>
      <c r="KXP7" s="20"/>
      <c r="KXQ7" s="20"/>
      <c r="KXR7" s="20"/>
      <c r="KXS7" s="20"/>
      <c r="KXT7" s="20"/>
      <c r="KXU7" s="20"/>
      <c r="KXV7" s="20"/>
      <c r="KXW7" s="20"/>
      <c r="KXX7" s="20"/>
      <c r="KXY7" s="20"/>
      <c r="KXZ7" s="20"/>
      <c r="KYA7" s="20"/>
      <c r="KYB7" s="20"/>
      <c r="KYC7" s="20"/>
      <c r="KYD7" s="20"/>
      <c r="KYE7" s="20"/>
      <c r="KYF7" s="20"/>
      <c r="KYG7" s="20"/>
      <c r="KYH7" s="20"/>
      <c r="KYI7" s="20"/>
      <c r="KYJ7" s="20"/>
      <c r="KYK7" s="20"/>
      <c r="KYL7" s="20"/>
      <c r="KYM7" s="20"/>
      <c r="KYN7" s="20"/>
      <c r="KYO7" s="20"/>
      <c r="KYP7" s="20"/>
      <c r="KYQ7" s="20"/>
      <c r="KYR7" s="20"/>
      <c r="KYS7" s="20"/>
      <c r="KYT7" s="20"/>
      <c r="KYU7" s="20"/>
      <c r="KYV7" s="20"/>
      <c r="KYW7" s="20"/>
      <c r="KYX7" s="20"/>
      <c r="KYY7" s="20"/>
      <c r="KYZ7" s="20"/>
      <c r="KZA7" s="20"/>
      <c r="KZB7" s="20"/>
      <c r="KZC7" s="20"/>
      <c r="KZD7" s="20"/>
      <c r="KZE7" s="20"/>
      <c r="KZF7" s="20"/>
      <c r="KZG7" s="20"/>
      <c r="KZH7" s="20"/>
      <c r="KZI7" s="20"/>
      <c r="KZJ7" s="20"/>
      <c r="KZK7" s="20"/>
      <c r="KZL7" s="20"/>
      <c r="KZM7" s="20"/>
      <c r="KZN7" s="20"/>
      <c r="KZO7" s="20"/>
      <c r="KZP7" s="20"/>
      <c r="KZQ7" s="20"/>
      <c r="KZR7" s="20"/>
      <c r="KZS7" s="20"/>
      <c r="KZT7" s="20"/>
      <c r="KZU7" s="20"/>
      <c r="KZV7" s="20"/>
      <c r="KZW7" s="20"/>
      <c r="KZX7" s="20"/>
      <c r="KZY7" s="20"/>
      <c r="KZZ7" s="20"/>
      <c r="LAA7" s="20"/>
      <c r="LAB7" s="20"/>
      <c r="LAC7" s="20"/>
      <c r="LAD7" s="20"/>
      <c r="LAE7" s="20"/>
      <c r="LAF7" s="20"/>
      <c r="LAG7" s="20"/>
      <c r="LAH7" s="20"/>
      <c r="LAI7" s="20"/>
      <c r="LAJ7" s="20"/>
      <c r="LAK7" s="20"/>
      <c r="LAL7" s="20"/>
      <c r="LAM7" s="20"/>
      <c r="LAN7" s="20"/>
      <c r="LAO7" s="20"/>
      <c r="LAP7" s="20"/>
      <c r="LAQ7" s="20"/>
      <c r="LAR7" s="20"/>
      <c r="LAS7" s="20"/>
      <c r="LAT7" s="20"/>
      <c r="LAU7" s="20"/>
      <c r="LAV7" s="20"/>
      <c r="LAW7" s="20"/>
      <c r="LAX7" s="20"/>
      <c r="LAY7" s="20"/>
      <c r="LAZ7" s="20"/>
      <c r="LBA7" s="20"/>
      <c r="LBB7" s="20"/>
      <c r="LBC7" s="20"/>
      <c r="LBD7" s="20"/>
      <c r="LBE7" s="20"/>
      <c r="LBF7" s="20"/>
      <c r="LBG7" s="20"/>
      <c r="LBH7" s="20"/>
      <c r="LBI7" s="20"/>
      <c r="LBJ7" s="20"/>
      <c r="LBK7" s="20"/>
      <c r="LBL7" s="20"/>
      <c r="LBM7" s="20"/>
      <c r="LBN7" s="20"/>
      <c r="LBO7" s="20"/>
      <c r="LBP7" s="20"/>
      <c r="LBQ7" s="20"/>
      <c r="LBR7" s="20"/>
      <c r="LBS7" s="20"/>
      <c r="LBT7" s="20"/>
      <c r="LBU7" s="20"/>
      <c r="LBV7" s="20"/>
      <c r="LBW7" s="20"/>
      <c r="LBX7" s="20"/>
      <c r="LBY7" s="20"/>
      <c r="LBZ7" s="20"/>
      <c r="LCA7" s="20"/>
      <c r="LCB7" s="20"/>
      <c r="LCC7" s="20"/>
      <c r="LCD7" s="20"/>
      <c r="LCE7" s="20"/>
      <c r="LCF7" s="20"/>
      <c r="LCG7" s="20"/>
      <c r="LCH7" s="20"/>
      <c r="LCI7" s="20"/>
      <c r="LCJ7" s="20"/>
      <c r="LCK7" s="20"/>
      <c r="LCL7" s="20"/>
      <c r="LCM7" s="20"/>
      <c r="LCN7" s="20"/>
      <c r="LCO7" s="20"/>
      <c r="LCP7" s="20"/>
      <c r="LCQ7" s="20"/>
      <c r="LCR7" s="20"/>
      <c r="LCS7" s="20"/>
      <c r="LCT7" s="20"/>
      <c r="LCU7" s="20"/>
      <c r="LCV7" s="20"/>
      <c r="LCW7" s="20"/>
      <c r="LCX7" s="20"/>
      <c r="LCY7" s="20"/>
      <c r="LCZ7" s="20"/>
      <c r="LDA7" s="20"/>
      <c r="LDB7" s="20"/>
      <c r="LDC7" s="20"/>
      <c r="LDD7" s="20"/>
      <c r="LDE7" s="20"/>
      <c r="LDF7" s="20"/>
      <c r="LDG7" s="20"/>
      <c r="LDH7" s="20"/>
      <c r="LDI7" s="20"/>
      <c r="LDJ7" s="20"/>
      <c r="LDK7" s="20"/>
      <c r="LDL7" s="20"/>
      <c r="LDM7" s="20"/>
      <c r="LDN7" s="20"/>
      <c r="LDO7" s="20"/>
      <c r="LDP7" s="20"/>
      <c r="LDQ7" s="20"/>
      <c r="LDR7" s="20"/>
      <c r="LDS7" s="20"/>
      <c r="LDT7" s="20"/>
      <c r="LDU7" s="20"/>
      <c r="LDV7" s="20"/>
      <c r="LDW7" s="20"/>
      <c r="LDX7" s="20"/>
      <c r="LDY7" s="20"/>
      <c r="LDZ7" s="20"/>
      <c r="LEA7" s="20"/>
      <c r="LEB7" s="20"/>
      <c r="LEC7" s="20"/>
      <c r="LED7" s="20"/>
      <c r="LEE7" s="20"/>
      <c r="LEF7" s="20"/>
      <c r="LEG7" s="20"/>
      <c r="LEH7" s="20"/>
      <c r="LEI7" s="20"/>
      <c r="LEJ7" s="20"/>
      <c r="LEK7" s="20"/>
      <c r="LEL7" s="20"/>
      <c r="LEM7" s="20"/>
      <c r="LEN7" s="20"/>
      <c r="LEO7" s="20"/>
      <c r="LEP7" s="20"/>
      <c r="LEQ7" s="20"/>
      <c r="LER7" s="20"/>
      <c r="LES7" s="20"/>
      <c r="LET7" s="20"/>
      <c r="LEU7" s="20"/>
      <c r="LEV7" s="20"/>
      <c r="LEW7" s="20"/>
      <c r="LEX7" s="20"/>
      <c r="LEY7" s="20"/>
      <c r="LEZ7" s="20"/>
      <c r="LFA7" s="20"/>
      <c r="LFB7" s="20"/>
      <c r="LFC7" s="20"/>
      <c r="LFD7" s="20"/>
      <c r="LFE7" s="20"/>
      <c r="LFF7" s="20"/>
      <c r="LFG7" s="20"/>
      <c r="LFH7" s="20"/>
      <c r="LFI7" s="20"/>
      <c r="LFJ7" s="20"/>
      <c r="LFK7" s="20"/>
      <c r="LFL7" s="20"/>
      <c r="LFM7" s="20"/>
      <c r="LFN7" s="20"/>
      <c r="LFO7" s="20"/>
      <c r="LFP7" s="20"/>
      <c r="LFQ7" s="20"/>
      <c r="LFR7" s="20"/>
      <c r="LFS7" s="20"/>
      <c r="LFT7" s="20"/>
      <c r="LFU7" s="20"/>
      <c r="LFV7" s="20"/>
      <c r="LFW7" s="20"/>
      <c r="LFX7" s="20"/>
      <c r="LFY7" s="20"/>
      <c r="LFZ7" s="20"/>
      <c r="LGA7" s="20"/>
      <c r="LGB7" s="20"/>
      <c r="LGC7" s="20"/>
      <c r="LGD7" s="20"/>
      <c r="LGE7" s="20"/>
      <c r="LGF7" s="20"/>
      <c r="LGG7" s="20"/>
      <c r="LGH7" s="20"/>
      <c r="LGI7" s="20"/>
      <c r="LGJ7" s="20"/>
      <c r="LGK7" s="20"/>
      <c r="LGL7" s="20"/>
      <c r="LGM7" s="20"/>
      <c r="LGN7" s="20"/>
      <c r="LGO7" s="20"/>
      <c r="LGP7" s="20"/>
      <c r="LGQ7" s="20"/>
      <c r="LGR7" s="20"/>
      <c r="LGS7" s="20"/>
      <c r="LGT7" s="20"/>
      <c r="LGU7" s="20"/>
      <c r="LGV7" s="20"/>
      <c r="LGW7" s="20"/>
      <c r="LGX7" s="20"/>
      <c r="LGY7" s="20"/>
      <c r="LGZ7" s="20"/>
      <c r="LHA7" s="20"/>
      <c r="LHB7" s="20"/>
      <c r="LHC7" s="20"/>
      <c r="LHD7" s="20"/>
      <c r="LHE7" s="20"/>
      <c r="LHF7" s="20"/>
      <c r="LHG7" s="20"/>
      <c r="LHH7" s="20"/>
      <c r="LHI7" s="20"/>
      <c r="LHJ7" s="20"/>
      <c r="LHK7" s="20"/>
      <c r="LHL7" s="20"/>
      <c r="LHM7" s="20"/>
      <c r="LHN7" s="20"/>
      <c r="LHO7" s="20"/>
      <c r="LHP7" s="20"/>
      <c r="LHQ7" s="20"/>
      <c r="LHR7" s="20"/>
      <c r="LHS7" s="20"/>
      <c r="LHT7" s="20"/>
      <c r="LHU7" s="20"/>
      <c r="LHV7" s="20"/>
      <c r="LHW7" s="20"/>
      <c r="LHX7" s="20"/>
      <c r="LHY7" s="20"/>
      <c r="LHZ7" s="20"/>
      <c r="LIA7" s="20"/>
      <c r="LIB7" s="20"/>
      <c r="LIC7" s="20"/>
      <c r="LID7" s="20"/>
      <c r="LIE7" s="20"/>
      <c r="LIF7" s="20"/>
      <c r="LIG7" s="20"/>
      <c r="LIH7" s="20"/>
      <c r="LII7" s="20"/>
      <c r="LIJ7" s="20"/>
      <c r="LIK7" s="20"/>
      <c r="LIL7" s="20"/>
      <c r="LIM7" s="20"/>
      <c r="LIN7" s="20"/>
      <c r="LIO7" s="20"/>
      <c r="LIP7" s="20"/>
      <c r="LIQ7" s="20"/>
      <c r="LIR7" s="20"/>
      <c r="LIS7" s="20"/>
      <c r="LIT7" s="20"/>
      <c r="LIU7" s="20"/>
      <c r="LIV7" s="20"/>
      <c r="LIW7" s="20"/>
      <c r="LIX7" s="20"/>
      <c r="LIY7" s="20"/>
      <c r="LIZ7" s="20"/>
      <c r="LJA7" s="20"/>
      <c r="LJB7" s="20"/>
      <c r="LJC7" s="20"/>
      <c r="LJD7" s="20"/>
      <c r="LJE7" s="20"/>
      <c r="LJF7" s="20"/>
      <c r="LJG7" s="20"/>
      <c r="LJH7" s="20"/>
      <c r="LJI7" s="20"/>
      <c r="LJJ7" s="20"/>
      <c r="LJK7" s="20"/>
      <c r="LJL7" s="20"/>
      <c r="LJM7" s="20"/>
      <c r="LJN7" s="20"/>
      <c r="LJO7" s="20"/>
      <c r="LJP7" s="20"/>
      <c r="LJQ7" s="20"/>
      <c r="LJR7" s="20"/>
      <c r="LJS7" s="20"/>
      <c r="LJT7" s="20"/>
      <c r="LJU7" s="20"/>
      <c r="LJV7" s="20"/>
      <c r="LJW7" s="20"/>
      <c r="LJX7" s="20"/>
      <c r="LJY7" s="20"/>
      <c r="LJZ7" s="20"/>
      <c r="LKA7" s="20"/>
      <c r="LKB7" s="20"/>
      <c r="LKC7" s="20"/>
      <c r="LKD7" s="20"/>
      <c r="LKE7" s="20"/>
      <c r="LKF7" s="20"/>
      <c r="LKG7" s="20"/>
      <c r="LKH7" s="20"/>
      <c r="LKI7" s="20"/>
      <c r="LKJ7" s="20"/>
      <c r="LKK7" s="20"/>
      <c r="LKL7" s="20"/>
      <c r="LKM7" s="20"/>
      <c r="LKN7" s="20"/>
      <c r="LKO7" s="20"/>
      <c r="LKP7" s="20"/>
      <c r="LKQ7" s="20"/>
      <c r="LKR7" s="20"/>
      <c r="LKS7" s="20"/>
      <c r="LKT7" s="20"/>
      <c r="LKU7" s="20"/>
      <c r="LKV7" s="20"/>
      <c r="LKW7" s="20"/>
      <c r="LKX7" s="20"/>
      <c r="LKY7" s="20"/>
      <c r="LKZ7" s="20"/>
      <c r="LLA7" s="20"/>
      <c r="LLB7" s="20"/>
      <c r="LLC7" s="20"/>
      <c r="LLD7" s="20"/>
      <c r="LLE7" s="20"/>
      <c r="LLF7" s="20"/>
      <c r="LLG7" s="20"/>
      <c r="LLH7" s="20"/>
      <c r="LLI7" s="20"/>
      <c r="LLJ7" s="20"/>
      <c r="LLK7" s="20"/>
      <c r="LLL7" s="20"/>
      <c r="LLM7" s="20"/>
      <c r="LLN7" s="20"/>
      <c r="LLO7" s="20"/>
      <c r="LLP7" s="20"/>
      <c r="LLQ7" s="20"/>
      <c r="LLR7" s="20"/>
      <c r="LLS7" s="20"/>
      <c r="LLT7" s="20"/>
      <c r="LLU7" s="20"/>
      <c r="LLV7" s="20"/>
      <c r="LLW7" s="20"/>
      <c r="LLX7" s="20"/>
      <c r="LLY7" s="20"/>
      <c r="LLZ7" s="20"/>
      <c r="LMA7" s="20"/>
      <c r="LMB7" s="20"/>
      <c r="LMC7" s="20"/>
      <c r="LMD7" s="20"/>
      <c r="LME7" s="20"/>
      <c r="LMF7" s="20"/>
      <c r="LMG7" s="20"/>
      <c r="LMH7" s="20"/>
      <c r="LMI7" s="20"/>
      <c r="LMJ7" s="20"/>
      <c r="LMK7" s="20"/>
      <c r="LML7" s="20"/>
      <c r="LMM7" s="20"/>
      <c r="LMN7" s="20"/>
      <c r="LMO7" s="20"/>
      <c r="LMP7" s="20"/>
      <c r="LMQ7" s="20"/>
      <c r="LMR7" s="20"/>
      <c r="LMS7" s="20"/>
      <c r="LMT7" s="20"/>
      <c r="LMU7" s="20"/>
      <c r="LMV7" s="20"/>
      <c r="LMW7" s="20"/>
      <c r="LMX7" s="20"/>
      <c r="LMY7" s="20"/>
      <c r="LMZ7" s="20"/>
      <c r="LNA7" s="20"/>
      <c r="LNB7" s="20"/>
      <c r="LNC7" s="20"/>
      <c r="LND7" s="20"/>
      <c r="LNE7" s="20"/>
      <c r="LNF7" s="20"/>
      <c r="LNG7" s="20"/>
      <c r="LNH7" s="20"/>
      <c r="LNI7" s="20"/>
      <c r="LNJ7" s="20"/>
      <c r="LNK7" s="20"/>
      <c r="LNL7" s="20"/>
      <c r="LNM7" s="20"/>
      <c r="LNN7" s="20"/>
      <c r="LNO7" s="20"/>
      <c r="LNP7" s="20"/>
      <c r="LNQ7" s="20"/>
      <c r="LNR7" s="20"/>
      <c r="LNS7" s="20"/>
      <c r="LNT7" s="20"/>
      <c r="LNU7" s="20"/>
      <c r="LNV7" s="20"/>
      <c r="LNW7" s="20"/>
      <c r="LNX7" s="20"/>
      <c r="LNY7" s="20"/>
      <c r="LNZ7" s="20"/>
      <c r="LOA7" s="20"/>
      <c r="LOB7" s="20"/>
      <c r="LOC7" s="20"/>
      <c r="LOD7" s="20"/>
      <c r="LOE7" s="20"/>
      <c r="LOF7" s="20"/>
      <c r="LOG7" s="20"/>
      <c r="LOH7" s="20"/>
      <c r="LOI7" s="20"/>
      <c r="LOJ7" s="20"/>
      <c r="LOK7" s="20"/>
      <c r="LOL7" s="20"/>
      <c r="LOM7" s="20"/>
      <c r="LON7" s="20"/>
      <c r="LOO7" s="20"/>
      <c r="LOP7" s="20"/>
      <c r="LOQ7" s="20"/>
      <c r="LOR7" s="20"/>
      <c r="LOS7" s="20"/>
      <c r="LOT7" s="20"/>
      <c r="LOU7" s="20"/>
      <c r="LOV7" s="20"/>
      <c r="LOW7" s="20"/>
      <c r="LOX7" s="20"/>
      <c r="LOY7" s="20"/>
      <c r="LOZ7" s="20"/>
      <c r="LPA7" s="20"/>
      <c r="LPB7" s="20"/>
      <c r="LPC7" s="20"/>
      <c r="LPD7" s="20"/>
      <c r="LPE7" s="20"/>
      <c r="LPF7" s="20"/>
      <c r="LPG7" s="20"/>
      <c r="LPH7" s="20"/>
      <c r="LPI7" s="20"/>
      <c r="LPJ7" s="20"/>
      <c r="LPK7" s="20"/>
      <c r="LPL7" s="20"/>
      <c r="LPM7" s="20"/>
      <c r="LPN7" s="20"/>
      <c r="LPO7" s="20"/>
      <c r="LPP7" s="20"/>
      <c r="LPQ7" s="20"/>
      <c r="LPR7" s="20"/>
      <c r="LPS7" s="20"/>
      <c r="LPT7" s="20"/>
      <c r="LPU7" s="20"/>
      <c r="LPV7" s="20"/>
      <c r="LPW7" s="20"/>
      <c r="LPX7" s="20"/>
      <c r="LPY7" s="20"/>
      <c r="LPZ7" s="20"/>
      <c r="LQA7" s="20"/>
      <c r="LQB7" s="20"/>
      <c r="LQC7" s="20"/>
      <c r="LQD7" s="20"/>
      <c r="LQE7" s="20"/>
      <c r="LQF7" s="20"/>
      <c r="LQG7" s="20"/>
      <c r="LQH7" s="20"/>
      <c r="LQI7" s="20"/>
      <c r="LQJ7" s="20"/>
      <c r="LQK7" s="20"/>
      <c r="LQL7" s="20"/>
      <c r="LQM7" s="20"/>
      <c r="LQN7" s="20"/>
      <c r="LQO7" s="20"/>
      <c r="LQP7" s="20"/>
      <c r="LQQ7" s="20"/>
      <c r="LQR7" s="20"/>
      <c r="LQS7" s="20"/>
      <c r="LQT7" s="20"/>
      <c r="LQU7" s="20"/>
      <c r="LQV7" s="20"/>
      <c r="LQW7" s="20"/>
      <c r="LQX7" s="20"/>
      <c r="LQY7" s="20"/>
      <c r="LQZ7" s="20"/>
      <c r="LRA7" s="20"/>
      <c r="LRB7" s="20"/>
      <c r="LRC7" s="20"/>
      <c r="LRD7" s="20"/>
      <c r="LRE7" s="20"/>
      <c r="LRF7" s="20"/>
      <c r="LRG7" s="20"/>
      <c r="LRH7" s="20"/>
      <c r="LRI7" s="20"/>
      <c r="LRJ7" s="20"/>
      <c r="LRK7" s="20"/>
      <c r="LRL7" s="20"/>
      <c r="LRM7" s="20"/>
      <c r="LRN7" s="20"/>
      <c r="LRO7" s="20"/>
      <c r="LRP7" s="20"/>
      <c r="LRQ7" s="20"/>
      <c r="LRR7" s="20"/>
      <c r="LRS7" s="20"/>
      <c r="LRT7" s="20"/>
      <c r="LRU7" s="20"/>
      <c r="LRV7" s="20"/>
      <c r="LRW7" s="20"/>
      <c r="LRX7" s="20"/>
      <c r="LRY7" s="20"/>
      <c r="LRZ7" s="20"/>
      <c r="LSA7" s="20"/>
      <c r="LSB7" s="20"/>
      <c r="LSC7" s="20"/>
      <c r="LSD7" s="20"/>
      <c r="LSE7" s="20"/>
      <c r="LSF7" s="20"/>
      <c r="LSG7" s="20"/>
      <c r="LSH7" s="20"/>
      <c r="LSI7" s="20"/>
      <c r="LSJ7" s="20"/>
      <c r="LSK7" s="20"/>
      <c r="LSL7" s="20"/>
      <c r="LSM7" s="20"/>
      <c r="LSN7" s="20"/>
      <c r="LSO7" s="20"/>
      <c r="LSP7" s="20"/>
      <c r="LSQ7" s="20"/>
      <c r="LSR7" s="20"/>
      <c r="LSS7" s="20"/>
      <c r="LST7" s="20"/>
      <c r="LSU7" s="20"/>
      <c r="LSV7" s="20"/>
      <c r="LSW7" s="20"/>
      <c r="LSX7" s="20"/>
      <c r="LSY7" s="20"/>
      <c r="LSZ7" s="20"/>
      <c r="LTA7" s="20"/>
      <c r="LTB7" s="20"/>
      <c r="LTC7" s="20"/>
      <c r="LTD7" s="20"/>
      <c r="LTE7" s="20"/>
      <c r="LTF7" s="20"/>
      <c r="LTG7" s="20"/>
      <c r="LTH7" s="20"/>
      <c r="LTI7" s="20"/>
      <c r="LTJ7" s="20"/>
      <c r="LTK7" s="20"/>
      <c r="LTL7" s="20"/>
      <c r="LTM7" s="20"/>
      <c r="LTN7" s="20"/>
      <c r="LTO7" s="20"/>
      <c r="LTP7" s="20"/>
      <c r="LTQ7" s="20"/>
      <c r="LTR7" s="20"/>
      <c r="LTS7" s="20"/>
      <c r="LTT7" s="20"/>
      <c r="LTU7" s="20"/>
      <c r="LTV7" s="20"/>
      <c r="LTW7" s="20"/>
      <c r="LTX7" s="20"/>
      <c r="LTY7" s="20"/>
      <c r="LTZ7" s="20"/>
      <c r="LUA7" s="20"/>
      <c r="LUB7" s="20"/>
      <c r="LUC7" s="20"/>
      <c r="LUD7" s="20"/>
      <c r="LUE7" s="20"/>
      <c r="LUF7" s="20"/>
      <c r="LUG7" s="20"/>
      <c r="LUH7" s="20"/>
      <c r="LUI7" s="20"/>
      <c r="LUJ7" s="20"/>
      <c r="LUK7" s="20"/>
      <c r="LUL7" s="20"/>
      <c r="LUM7" s="20"/>
      <c r="LUN7" s="20"/>
      <c r="LUO7" s="20"/>
      <c r="LUP7" s="20"/>
      <c r="LUQ7" s="20"/>
      <c r="LUR7" s="20"/>
      <c r="LUS7" s="20"/>
      <c r="LUT7" s="20"/>
      <c r="LUU7" s="20"/>
      <c r="LUV7" s="20"/>
      <c r="LUW7" s="20"/>
      <c r="LUX7" s="20"/>
      <c r="LUY7" s="20"/>
      <c r="LUZ7" s="20"/>
      <c r="LVA7" s="20"/>
      <c r="LVB7" s="20"/>
      <c r="LVC7" s="20"/>
      <c r="LVD7" s="20"/>
      <c r="LVE7" s="20"/>
      <c r="LVF7" s="20"/>
      <c r="LVG7" s="20"/>
      <c r="LVH7" s="20"/>
      <c r="LVI7" s="20"/>
      <c r="LVJ7" s="20"/>
      <c r="LVK7" s="20"/>
      <c r="LVL7" s="20"/>
      <c r="LVM7" s="20"/>
      <c r="LVN7" s="20"/>
      <c r="LVO7" s="20"/>
      <c r="LVP7" s="20"/>
      <c r="LVQ7" s="20"/>
      <c r="LVR7" s="20"/>
      <c r="LVS7" s="20"/>
      <c r="LVT7" s="20"/>
      <c r="LVU7" s="20"/>
      <c r="LVV7" s="20"/>
      <c r="LVW7" s="20"/>
      <c r="LVX7" s="20"/>
      <c r="LVY7" s="20"/>
      <c r="LVZ7" s="20"/>
      <c r="LWA7" s="20"/>
      <c r="LWB7" s="20"/>
      <c r="LWC7" s="20"/>
      <c r="LWD7" s="20"/>
      <c r="LWE7" s="20"/>
      <c r="LWF7" s="20"/>
      <c r="LWG7" s="20"/>
      <c r="LWH7" s="20"/>
      <c r="LWI7" s="20"/>
      <c r="LWJ7" s="20"/>
      <c r="LWK7" s="20"/>
      <c r="LWL7" s="20"/>
      <c r="LWM7" s="20"/>
      <c r="LWN7" s="20"/>
      <c r="LWO7" s="20"/>
      <c r="LWP7" s="20"/>
      <c r="LWQ7" s="20"/>
      <c r="LWR7" s="20"/>
      <c r="LWS7" s="20"/>
      <c r="LWT7" s="20"/>
      <c r="LWU7" s="20"/>
      <c r="LWV7" s="20"/>
      <c r="LWW7" s="20"/>
      <c r="LWX7" s="20"/>
      <c r="LWY7" s="20"/>
      <c r="LWZ7" s="20"/>
      <c r="LXA7" s="20"/>
      <c r="LXB7" s="20"/>
      <c r="LXC7" s="20"/>
      <c r="LXD7" s="20"/>
      <c r="LXE7" s="20"/>
      <c r="LXF7" s="20"/>
      <c r="LXG7" s="20"/>
      <c r="LXH7" s="20"/>
      <c r="LXI7" s="20"/>
      <c r="LXJ7" s="20"/>
      <c r="LXK7" s="20"/>
      <c r="LXL7" s="20"/>
      <c r="LXM7" s="20"/>
      <c r="LXN7" s="20"/>
      <c r="LXO7" s="20"/>
      <c r="LXP7" s="20"/>
      <c r="LXQ7" s="20"/>
      <c r="LXR7" s="20"/>
      <c r="LXS7" s="20"/>
      <c r="LXT7" s="20"/>
      <c r="LXU7" s="20"/>
      <c r="LXV7" s="20"/>
      <c r="LXW7" s="20"/>
      <c r="LXX7" s="20"/>
      <c r="LXY7" s="20"/>
      <c r="LXZ7" s="20"/>
      <c r="LYA7" s="20"/>
      <c r="LYB7" s="20"/>
      <c r="LYC7" s="20"/>
      <c r="LYD7" s="20"/>
      <c r="LYE7" s="20"/>
      <c r="LYF7" s="20"/>
      <c r="LYG7" s="20"/>
      <c r="LYH7" s="20"/>
      <c r="LYI7" s="20"/>
      <c r="LYJ7" s="20"/>
      <c r="LYK7" s="20"/>
      <c r="LYL7" s="20"/>
      <c r="LYM7" s="20"/>
      <c r="LYN7" s="20"/>
      <c r="LYO7" s="20"/>
      <c r="LYP7" s="20"/>
      <c r="LYQ7" s="20"/>
      <c r="LYR7" s="20"/>
      <c r="LYS7" s="20"/>
      <c r="LYT7" s="20"/>
      <c r="LYU7" s="20"/>
      <c r="LYV7" s="20"/>
      <c r="LYW7" s="20"/>
      <c r="LYX7" s="20"/>
      <c r="LYY7" s="20"/>
      <c r="LYZ7" s="20"/>
      <c r="LZA7" s="20"/>
      <c r="LZB7" s="20"/>
      <c r="LZC7" s="20"/>
      <c r="LZD7" s="20"/>
      <c r="LZE7" s="20"/>
      <c r="LZF7" s="20"/>
      <c r="LZG7" s="20"/>
      <c r="LZH7" s="20"/>
      <c r="LZI7" s="20"/>
      <c r="LZJ7" s="20"/>
      <c r="LZK7" s="20"/>
      <c r="LZL7" s="20"/>
      <c r="LZM7" s="20"/>
      <c r="LZN7" s="20"/>
      <c r="LZO7" s="20"/>
      <c r="LZP7" s="20"/>
      <c r="LZQ7" s="20"/>
      <c r="LZR7" s="20"/>
      <c r="LZS7" s="20"/>
      <c r="LZT7" s="20"/>
      <c r="LZU7" s="20"/>
      <c r="LZV7" s="20"/>
      <c r="LZW7" s="20"/>
      <c r="LZX7" s="20"/>
      <c r="LZY7" s="20"/>
      <c r="LZZ7" s="20"/>
      <c r="MAA7" s="20"/>
      <c r="MAB7" s="20"/>
      <c r="MAC7" s="20"/>
      <c r="MAD7" s="20"/>
      <c r="MAE7" s="20"/>
      <c r="MAF7" s="20"/>
      <c r="MAG7" s="20"/>
      <c r="MAH7" s="20"/>
      <c r="MAI7" s="20"/>
      <c r="MAJ7" s="20"/>
      <c r="MAK7" s="20"/>
      <c r="MAL7" s="20"/>
      <c r="MAM7" s="20"/>
      <c r="MAN7" s="20"/>
      <c r="MAO7" s="20"/>
      <c r="MAP7" s="20"/>
      <c r="MAQ7" s="20"/>
      <c r="MAR7" s="20"/>
      <c r="MAS7" s="20"/>
      <c r="MAT7" s="20"/>
      <c r="MAU7" s="20"/>
      <c r="MAV7" s="20"/>
      <c r="MAW7" s="20"/>
      <c r="MAX7" s="20"/>
      <c r="MAY7" s="20"/>
      <c r="MAZ7" s="20"/>
      <c r="MBA7" s="20"/>
      <c r="MBB7" s="20"/>
      <c r="MBC7" s="20"/>
      <c r="MBD7" s="20"/>
      <c r="MBE7" s="20"/>
      <c r="MBF7" s="20"/>
      <c r="MBG7" s="20"/>
      <c r="MBH7" s="20"/>
      <c r="MBI7" s="20"/>
      <c r="MBJ7" s="20"/>
      <c r="MBK7" s="20"/>
      <c r="MBL7" s="20"/>
      <c r="MBM7" s="20"/>
      <c r="MBN7" s="20"/>
      <c r="MBO7" s="20"/>
      <c r="MBP7" s="20"/>
      <c r="MBQ7" s="20"/>
      <c r="MBR7" s="20"/>
      <c r="MBS7" s="20"/>
      <c r="MBT7" s="20"/>
      <c r="MBU7" s="20"/>
      <c r="MBV7" s="20"/>
      <c r="MBW7" s="20"/>
      <c r="MBX7" s="20"/>
      <c r="MBY7" s="20"/>
      <c r="MBZ7" s="20"/>
      <c r="MCA7" s="20"/>
      <c r="MCB7" s="20"/>
      <c r="MCC7" s="20"/>
      <c r="MCD7" s="20"/>
      <c r="MCE7" s="20"/>
      <c r="MCF7" s="20"/>
      <c r="MCG7" s="20"/>
      <c r="MCH7" s="20"/>
      <c r="MCI7" s="20"/>
      <c r="MCJ7" s="20"/>
      <c r="MCK7" s="20"/>
      <c r="MCL7" s="20"/>
      <c r="MCM7" s="20"/>
      <c r="MCN7" s="20"/>
      <c r="MCO7" s="20"/>
      <c r="MCP7" s="20"/>
      <c r="MCQ7" s="20"/>
      <c r="MCR7" s="20"/>
      <c r="MCS7" s="20"/>
      <c r="MCT7" s="20"/>
      <c r="MCU7" s="20"/>
      <c r="MCV7" s="20"/>
      <c r="MCW7" s="20"/>
      <c r="MCX7" s="20"/>
      <c r="MCY7" s="20"/>
      <c r="MCZ7" s="20"/>
      <c r="MDA7" s="20"/>
      <c r="MDB7" s="20"/>
      <c r="MDC7" s="20"/>
      <c r="MDD7" s="20"/>
      <c r="MDE7" s="20"/>
      <c r="MDF7" s="20"/>
      <c r="MDG7" s="20"/>
      <c r="MDH7" s="20"/>
      <c r="MDI7" s="20"/>
      <c r="MDJ7" s="20"/>
      <c r="MDK7" s="20"/>
      <c r="MDL7" s="20"/>
      <c r="MDM7" s="20"/>
      <c r="MDN7" s="20"/>
      <c r="MDO7" s="20"/>
      <c r="MDP7" s="20"/>
      <c r="MDQ7" s="20"/>
      <c r="MDR7" s="20"/>
      <c r="MDS7" s="20"/>
      <c r="MDT7" s="20"/>
      <c r="MDU7" s="20"/>
      <c r="MDV7" s="20"/>
      <c r="MDW7" s="20"/>
      <c r="MDX7" s="20"/>
      <c r="MDY7" s="20"/>
      <c r="MDZ7" s="20"/>
      <c r="MEA7" s="20"/>
      <c r="MEB7" s="20"/>
      <c r="MEC7" s="20"/>
      <c r="MED7" s="20"/>
      <c r="MEE7" s="20"/>
      <c r="MEF7" s="20"/>
      <c r="MEG7" s="20"/>
      <c r="MEH7" s="20"/>
      <c r="MEI7" s="20"/>
      <c r="MEJ7" s="20"/>
      <c r="MEK7" s="20"/>
      <c r="MEL7" s="20"/>
      <c r="MEM7" s="20"/>
      <c r="MEN7" s="20"/>
      <c r="MEO7" s="20"/>
      <c r="MEP7" s="20"/>
      <c r="MEQ7" s="20"/>
      <c r="MER7" s="20"/>
      <c r="MES7" s="20"/>
      <c r="MET7" s="20"/>
      <c r="MEU7" s="20"/>
      <c r="MEV7" s="20"/>
      <c r="MEW7" s="20"/>
      <c r="MEX7" s="20"/>
      <c r="MEY7" s="20"/>
      <c r="MEZ7" s="20"/>
      <c r="MFA7" s="20"/>
      <c r="MFB7" s="20"/>
      <c r="MFC7" s="20"/>
      <c r="MFD7" s="20"/>
      <c r="MFE7" s="20"/>
      <c r="MFF7" s="20"/>
      <c r="MFG7" s="20"/>
      <c r="MFH7" s="20"/>
      <c r="MFI7" s="20"/>
      <c r="MFJ7" s="20"/>
      <c r="MFK7" s="20"/>
      <c r="MFL7" s="20"/>
      <c r="MFM7" s="20"/>
      <c r="MFN7" s="20"/>
      <c r="MFO7" s="20"/>
      <c r="MFP7" s="20"/>
      <c r="MFQ7" s="20"/>
      <c r="MFR7" s="20"/>
      <c r="MFS7" s="20"/>
      <c r="MFT7" s="20"/>
      <c r="MFU7" s="20"/>
      <c r="MFV7" s="20"/>
      <c r="MFW7" s="20"/>
      <c r="MFX7" s="20"/>
      <c r="MFY7" s="20"/>
      <c r="MFZ7" s="20"/>
      <c r="MGA7" s="20"/>
      <c r="MGB7" s="20"/>
      <c r="MGC7" s="20"/>
      <c r="MGD7" s="20"/>
      <c r="MGE7" s="20"/>
      <c r="MGF7" s="20"/>
      <c r="MGG7" s="20"/>
      <c r="MGH7" s="20"/>
      <c r="MGI7" s="20"/>
      <c r="MGJ7" s="20"/>
      <c r="MGK7" s="20"/>
      <c r="MGL7" s="20"/>
      <c r="MGM7" s="20"/>
      <c r="MGN7" s="20"/>
      <c r="MGO7" s="20"/>
      <c r="MGP7" s="20"/>
      <c r="MGQ7" s="20"/>
      <c r="MGR7" s="20"/>
      <c r="MGS7" s="20"/>
      <c r="MGT7" s="20"/>
      <c r="MGU7" s="20"/>
      <c r="MGV7" s="20"/>
      <c r="MGW7" s="20"/>
      <c r="MGX7" s="20"/>
      <c r="MGY7" s="20"/>
      <c r="MGZ7" s="20"/>
      <c r="MHA7" s="20"/>
      <c r="MHB7" s="20"/>
      <c r="MHC7" s="20"/>
      <c r="MHD7" s="20"/>
      <c r="MHE7" s="20"/>
      <c r="MHF7" s="20"/>
      <c r="MHG7" s="20"/>
      <c r="MHH7" s="20"/>
      <c r="MHI7" s="20"/>
      <c r="MHJ7" s="20"/>
      <c r="MHK7" s="20"/>
      <c r="MHL7" s="20"/>
      <c r="MHM7" s="20"/>
      <c r="MHN7" s="20"/>
      <c r="MHO7" s="20"/>
      <c r="MHP7" s="20"/>
      <c r="MHQ7" s="20"/>
      <c r="MHR7" s="20"/>
      <c r="MHS7" s="20"/>
      <c r="MHT7" s="20"/>
      <c r="MHU7" s="20"/>
      <c r="MHV7" s="20"/>
      <c r="MHW7" s="20"/>
      <c r="MHX7" s="20"/>
      <c r="MHY7" s="20"/>
      <c r="MHZ7" s="20"/>
      <c r="MIA7" s="20"/>
      <c r="MIB7" s="20"/>
      <c r="MIC7" s="20"/>
      <c r="MID7" s="20"/>
      <c r="MIE7" s="20"/>
      <c r="MIF7" s="20"/>
      <c r="MIG7" s="20"/>
      <c r="MIH7" s="20"/>
      <c r="MII7" s="20"/>
      <c r="MIJ7" s="20"/>
      <c r="MIK7" s="20"/>
      <c r="MIL7" s="20"/>
      <c r="MIM7" s="20"/>
      <c r="MIN7" s="20"/>
      <c r="MIO7" s="20"/>
      <c r="MIP7" s="20"/>
      <c r="MIQ7" s="20"/>
      <c r="MIR7" s="20"/>
      <c r="MIS7" s="20"/>
      <c r="MIT7" s="20"/>
      <c r="MIU7" s="20"/>
      <c r="MIV7" s="20"/>
      <c r="MIW7" s="20"/>
      <c r="MIX7" s="20"/>
      <c r="MIY7" s="20"/>
      <c r="MIZ7" s="20"/>
      <c r="MJA7" s="20"/>
      <c r="MJB7" s="20"/>
      <c r="MJC7" s="20"/>
      <c r="MJD7" s="20"/>
      <c r="MJE7" s="20"/>
      <c r="MJF7" s="20"/>
      <c r="MJG7" s="20"/>
      <c r="MJH7" s="20"/>
      <c r="MJI7" s="20"/>
      <c r="MJJ7" s="20"/>
      <c r="MJK7" s="20"/>
      <c r="MJL7" s="20"/>
      <c r="MJM7" s="20"/>
      <c r="MJN7" s="20"/>
      <c r="MJO7" s="20"/>
      <c r="MJP7" s="20"/>
      <c r="MJQ7" s="20"/>
      <c r="MJR7" s="20"/>
      <c r="MJS7" s="20"/>
      <c r="MJT7" s="20"/>
      <c r="MJU7" s="20"/>
      <c r="MJV7" s="20"/>
      <c r="MJW7" s="20"/>
      <c r="MJX7" s="20"/>
      <c r="MJY7" s="20"/>
      <c r="MJZ7" s="20"/>
      <c r="MKA7" s="20"/>
      <c r="MKB7" s="20"/>
      <c r="MKC7" s="20"/>
      <c r="MKD7" s="20"/>
      <c r="MKE7" s="20"/>
      <c r="MKF7" s="20"/>
      <c r="MKG7" s="20"/>
      <c r="MKH7" s="20"/>
      <c r="MKI7" s="20"/>
      <c r="MKJ7" s="20"/>
      <c r="MKK7" s="20"/>
      <c r="MKL7" s="20"/>
      <c r="MKM7" s="20"/>
      <c r="MKN7" s="20"/>
      <c r="MKO7" s="20"/>
      <c r="MKP7" s="20"/>
      <c r="MKQ7" s="20"/>
      <c r="MKR7" s="20"/>
      <c r="MKS7" s="20"/>
      <c r="MKT7" s="20"/>
      <c r="MKU7" s="20"/>
      <c r="MKV7" s="20"/>
      <c r="MKW7" s="20"/>
      <c r="MKX7" s="20"/>
      <c r="MKY7" s="20"/>
      <c r="MKZ7" s="20"/>
      <c r="MLA7" s="20"/>
      <c r="MLB7" s="20"/>
      <c r="MLC7" s="20"/>
      <c r="MLD7" s="20"/>
      <c r="MLE7" s="20"/>
      <c r="MLF7" s="20"/>
      <c r="MLG7" s="20"/>
      <c r="MLH7" s="20"/>
      <c r="MLI7" s="20"/>
      <c r="MLJ7" s="20"/>
      <c r="MLK7" s="20"/>
      <c r="MLL7" s="20"/>
      <c r="MLM7" s="20"/>
      <c r="MLN7" s="20"/>
      <c r="MLO7" s="20"/>
      <c r="MLP7" s="20"/>
      <c r="MLQ7" s="20"/>
      <c r="MLR7" s="20"/>
      <c r="MLS7" s="20"/>
      <c r="MLT7" s="20"/>
      <c r="MLU7" s="20"/>
      <c r="MLV7" s="20"/>
      <c r="MLW7" s="20"/>
      <c r="MLX7" s="20"/>
      <c r="MLY7" s="20"/>
      <c r="MLZ7" s="20"/>
      <c r="MMA7" s="20"/>
      <c r="MMB7" s="20"/>
      <c r="MMC7" s="20"/>
      <c r="MMD7" s="20"/>
      <c r="MME7" s="20"/>
      <c r="MMF7" s="20"/>
      <c r="MMG7" s="20"/>
      <c r="MMH7" s="20"/>
      <c r="MMI7" s="20"/>
      <c r="MMJ7" s="20"/>
      <c r="MMK7" s="20"/>
      <c r="MML7" s="20"/>
      <c r="MMM7" s="20"/>
      <c r="MMN7" s="20"/>
      <c r="MMO7" s="20"/>
      <c r="MMP7" s="20"/>
      <c r="MMQ7" s="20"/>
      <c r="MMR7" s="20"/>
      <c r="MMS7" s="20"/>
      <c r="MMT7" s="20"/>
      <c r="MMU7" s="20"/>
      <c r="MMV7" s="20"/>
      <c r="MMW7" s="20"/>
      <c r="MMX7" s="20"/>
      <c r="MMY7" s="20"/>
      <c r="MMZ7" s="20"/>
      <c r="MNA7" s="20"/>
      <c r="MNB7" s="20"/>
      <c r="MNC7" s="20"/>
      <c r="MND7" s="20"/>
      <c r="MNE7" s="20"/>
      <c r="MNF7" s="20"/>
      <c r="MNG7" s="20"/>
      <c r="MNH7" s="20"/>
      <c r="MNI7" s="20"/>
      <c r="MNJ7" s="20"/>
      <c r="MNK7" s="20"/>
      <c r="MNL7" s="20"/>
      <c r="MNM7" s="20"/>
      <c r="MNN7" s="20"/>
      <c r="MNO7" s="20"/>
      <c r="MNP7" s="20"/>
      <c r="MNQ7" s="20"/>
      <c r="MNR7" s="20"/>
      <c r="MNS7" s="20"/>
      <c r="MNT7" s="20"/>
      <c r="MNU7" s="20"/>
      <c r="MNV7" s="20"/>
      <c r="MNW7" s="20"/>
      <c r="MNX7" s="20"/>
      <c r="MNY7" s="20"/>
      <c r="MNZ7" s="20"/>
      <c r="MOA7" s="20"/>
      <c r="MOB7" s="20"/>
      <c r="MOC7" s="20"/>
      <c r="MOD7" s="20"/>
      <c r="MOE7" s="20"/>
      <c r="MOF7" s="20"/>
      <c r="MOG7" s="20"/>
      <c r="MOH7" s="20"/>
      <c r="MOI7" s="20"/>
      <c r="MOJ7" s="20"/>
      <c r="MOK7" s="20"/>
      <c r="MOL7" s="20"/>
      <c r="MOM7" s="20"/>
      <c r="MON7" s="20"/>
      <c r="MOO7" s="20"/>
      <c r="MOP7" s="20"/>
      <c r="MOQ7" s="20"/>
      <c r="MOR7" s="20"/>
      <c r="MOS7" s="20"/>
      <c r="MOT7" s="20"/>
      <c r="MOU7" s="20"/>
      <c r="MOV7" s="20"/>
      <c r="MOW7" s="20"/>
      <c r="MOX7" s="20"/>
      <c r="MOY7" s="20"/>
      <c r="MOZ7" s="20"/>
      <c r="MPA7" s="20"/>
      <c r="MPB7" s="20"/>
      <c r="MPC7" s="20"/>
      <c r="MPD7" s="20"/>
      <c r="MPE7" s="20"/>
      <c r="MPF7" s="20"/>
      <c r="MPG7" s="20"/>
      <c r="MPH7" s="20"/>
      <c r="MPI7" s="20"/>
      <c r="MPJ7" s="20"/>
      <c r="MPK7" s="20"/>
      <c r="MPL7" s="20"/>
      <c r="MPM7" s="20"/>
      <c r="MPN7" s="20"/>
      <c r="MPO7" s="20"/>
      <c r="MPP7" s="20"/>
      <c r="MPQ7" s="20"/>
      <c r="MPR7" s="20"/>
      <c r="MPS7" s="20"/>
      <c r="MPT7" s="20"/>
      <c r="MPU7" s="20"/>
      <c r="MPV7" s="20"/>
      <c r="MPW7" s="20"/>
      <c r="MPX7" s="20"/>
      <c r="MPY7" s="20"/>
      <c r="MPZ7" s="20"/>
      <c r="MQA7" s="20"/>
      <c r="MQB7" s="20"/>
      <c r="MQC7" s="20"/>
      <c r="MQD7" s="20"/>
      <c r="MQE7" s="20"/>
      <c r="MQF7" s="20"/>
      <c r="MQG7" s="20"/>
      <c r="MQH7" s="20"/>
      <c r="MQI7" s="20"/>
      <c r="MQJ7" s="20"/>
      <c r="MQK7" s="20"/>
      <c r="MQL7" s="20"/>
      <c r="MQM7" s="20"/>
      <c r="MQN7" s="20"/>
      <c r="MQO7" s="20"/>
      <c r="MQP7" s="20"/>
      <c r="MQQ7" s="20"/>
      <c r="MQR7" s="20"/>
      <c r="MQS7" s="20"/>
      <c r="MQT7" s="20"/>
      <c r="MQU7" s="20"/>
      <c r="MQV7" s="20"/>
      <c r="MQW7" s="20"/>
      <c r="MQX7" s="20"/>
      <c r="MQY7" s="20"/>
      <c r="MQZ7" s="20"/>
      <c r="MRA7" s="20"/>
      <c r="MRB7" s="20"/>
      <c r="MRC7" s="20"/>
      <c r="MRD7" s="20"/>
      <c r="MRE7" s="20"/>
      <c r="MRF7" s="20"/>
      <c r="MRG7" s="20"/>
      <c r="MRH7" s="20"/>
      <c r="MRI7" s="20"/>
      <c r="MRJ7" s="20"/>
      <c r="MRK7" s="20"/>
      <c r="MRL7" s="20"/>
      <c r="MRM7" s="20"/>
      <c r="MRN7" s="20"/>
      <c r="MRO7" s="20"/>
      <c r="MRP7" s="20"/>
      <c r="MRQ7" s="20"/>
      <c r="MRR7" s="20"/>
      <c r="MRS7" s="20"/>
      <c r="MRT7" s="20"/>
      <c r="MRU7" s="20"/>
      <c r="MRV7" s="20"/>
      <c r="MRW7" s="20"/>
      <c r="MRX7" s="20"/>
      <c r="MRY7" s="20"/>
      <c r="MRZ7" s="20"/>
      <c r="MSA7" s="20"/>
      <c r="MSB7" s="20"/>
      <c r="MSC7" s="20"/>
      <c r="MSD7" s="20"/>
      <c r="MSE7" s="20"/>
      <c r="MSF7" s="20"/>
      <c r="MSG7" s="20"/>
      <c r="MSH7" s="20"/>
      <c r="MSI7" s="20"/>
      <c r="MSJ7" s="20"/>
      <c r="MSK7" s="20"/>
      <c r="MSL7" s="20"/>
      <c r="MSM7" s="20"/>
      <c r="MSN7" s="20"/>
      <c r="MSO7" s="20"/>
      <c r="MSP7" s="20"/>
      <c r="MSQ7" s="20"/>
      <c r="MSR7" s="20"/>
      <c r="MSS7" s="20"/>
      <c r="MST7" s="20"/>
      <c r="MSU7" s="20"/>
      <c r="MSV7" s="20"/>
      <c r="MSW7" s="20"/>
      <c r="MSX7" s="20"/>
      <c r="MSY7" s="20"/>
      <c r="MSZ7" s="20"/>
      <c r="MTA7" s="20"/>
      <c r="MTB7" s="20"/>
      <c r="MTC7" s="20"/>
      <c r="MTD7" s="20"/>
      <c r="MTE7" s="20"/>
      <c r="MTF7" s="20"/>
      <c r="MTG7" s="20"/>
      <c r="MTH7" s="20"/>
      <c r="MTI7" s="20"/>
      <c r="MTJ7" s="20"/>
      <c r="MTK7" s="20"/>
      <c r="MTL7" s="20"/>
      <c r="MTM7" s="20"/>
      <c r="MTN7" s="20"/>
      <c r="MTO7" s="20"/>
      <c r="MTP7" s="20"/>
      <c r="MTQ7" s="20"/>
      <c r="MTR7" s="20"/>
      <c r="MTS7" s="20"/>
      <c r="MTT7" s="20"/>
      <c r="MTU7" s="20"/>
      <c r="MTV7" s="20"/>
      <c r="MTW7" s="20"/>
      <c r="MTX7" s="20"/>
      <c r="MTY7" s="20"/>
      <c r="MTZ7" s="20"/>
      <c r="MUA7" s="20"/>
      <c r="MUB7" s="20"/>
      <c r="MUC7" s="20"/>
      <c r="MUD7" s="20"/>
      <c r="MUE7" s="20"/>
      <c r="MUF7" s="20"/>
      <c r="MUG7" s="20"/>
      <c r="MUH7" s="20"/>
      <c r="MUI7" s="20"/>
      <c r="MUJ7" s="20"/>
      <c r="MUK7" s="20"/>
      <c r="MUL7" s="20"/>
      <c r="MUM7" s="20"/>
      <c r="MUN7" s="20"/>
      <c r="MUO7" s="20"/>
      <c r="MUP7" s="20"/>
      <c r="MUQ7" s="20"/>
      <c r="MUR7" s="20"/>
      <c r="MUS7" s="20"/>
      <c r="MUT7" s="20"/>
      <c r="MUU7" s="20"/>
      <c r="MUV7" s="20"/>
      <c r="MUW7" s="20"/>
      <c r="MUX7" s="20"/>
      <c r="MUY7" s="20"/>
      <c r="MUZ7" s="20"/>
      <c r="MVA7" s="20"/>
      <c r="MVB7" s="20"/>
      <c r="MVC7" s="20"/>
      <c r="MVD7" s="20"/>
      <c r="MVE7" s="20"/>
      <c r="MVF7" s="20"/>
      <c r="MVG7" s="20"/>
      <c r="MVH7" s="20"/>
      <c r="MVI7" s="20"/>
      <c r="MVJ7" s="20"/>
      <c r="MVK7" s="20"/>
      <c r="MVL7" s="20"/>
      <c r="MVM7" s="20"/>
      <c r="MVN7" s="20"/>
      <c r="MVO7" s="20"/>
      <c r="MVP7" s="20"/>
      <c r="MVQ7" s="20"/>
      <c r="MVR7" s="20"/>
      <c r="MVS7" s="20"/>
      <c r="MVT7" s="20"/>
      <c r="MVU7" s="20"/>
      <c r="MVV7" s="20"/>
      <c r="MVW7" s="20"/>
      <c r="MVX7" s="20"/>
      <c r="MVY7" s="20"/>
      <c r="MVZ7" s="20"/>
      <c r="MWA7" s="20"/>
      <c r="MWB7" s="20"/>
      <c r="MWC7" s="20"/>
      <c r="MWD7" s="20"/>
      <c r="MWE7" s="20"/>
      <c r="MWF7" s="20"/>
      <c r="MWG7" s="20"/>
      <c r="MWH7" s="20"/>
      <c r="MWI7" s="20"/>
      <c r="MWJ7" s="20"/>
      <c r="MWK7" s="20"/>
      <c r="MWL7" s="20"/>
      <c r="MWM7" s="20"/>
      <c r="MWN7" s="20"/>
      <c r="MWO7" s="20"/>
      <c r="MWP7" s="20"/>
      <c r="MWQ7" s="20"/>
      <c r="MWR7" s="20"/>
      <c r="MWS7" s="20"/>
      <c r="MWT7" s="20"/>
      <c r="MWU7" s="20"/>
      <c r="MWV7" s="20"/>
      <c r="MWW7" s="20"/>
      <c r="MWX7" s="20"/>
      <c r="MWY7" s="20"/>
      <c r="MWZ7" s="20"/>
      <c r="MXA7" s="20"/>
      <c r="MXB7" s="20"/>
      <c r="MXC7" s="20"/>
      <c r="MXD7" s="20"/>
      <c r="MXE7" s="20"/>
      <c r="MXF7" s="20"/>
      <c r="MXG7" s="20"/>
      <c r="MXH7" s="20"/>
      <c r="MXI7" s="20"/>
      <c r="MXJ7" s="20"/>
      <c r="MXK7" s="20"/>
      <c r="MXL7" s="20"/>
      <c r="MXM7" s="20"/>
      <c r="MXN7" s="20"/>
      <c r="MXO7" s="20"/>
      <c r="MXP7" s="20"/>
      <c r="MXQ7" s="20"/>
      <c r="MXR7" s="20"/>
      <c r="MXS7" s="20"/>
      <c r="MXT7" s="20"/>
      <c r="MXU7" s="20"/>
      <c r="MXV7" s="20"/>
      <c r="MXW7" s="20"/>
      <c r="MXX7" s="20"/>
      <c r="MXY7" s="20"/>
      <c r="MXZ7" s="20"/>
      <c r="MYA7" s="20"/>
      <c r="MYB7" s="20"/>
      <c r="MYC7" s="20"/>
      <c r="MYD7" s="20"/>
      <c r="MYE7" s="20"/>
      <c r="MYF7" s="20"/>
      <c r="MYG7" s="20"/>
      <c r="MYH7" s="20"/>
      <c r="MYI7" s="20"/>
      <c r="MYJ7" s="20"/>
      <c r="MYK7" s="20"/>
      <c r="MYL7" s="20"/>
      <c r="MYM7" s="20"/>
      <c r="MYN7" s="20"/>
      <c r="MYO7" s="20"/>
      <c r="MYP7" s="20"/>
      <c r="MYQ7" s="20"/>
      <c r="MYR7" s="20"/>
      <c r="MYS7" s="20"/>
      <c r="MYT7" s="20"/>
      <c r="MYU7" s="20"/>
      <c r="MYV7" s="20"/>
      <c r="MYW7" s="20"/>
      <c r="MYX7" s="20"/>
      <c r="MYY7" s="20"/>
      <c r="MYZ7" s="20"/>
      <c r="MZA7" s="20"/>
      <c r="MZB7" s="20"/>
      <c r="MZC7" s="20"/>
      <c r="MZD7" s="20"/>
      <c r="MZE7" s="20"/>
      <c r="MZF7" s="20"/>
      <c r="MZG7" s="20"/>
      <c r="MZH7" s="20"/>
      <c r="MZI7" s="20"/>
      <c r="MZJ7" s="20"/>
      <c r="MZK7" s="20"/>
      <c r="MZL7" s="20"/>
      <c r="MZM7" s="20"/>
      <c r="MZN7" s="20"/>
      <c r="MZO7" s="20"/>
      <c r="MZP7" s="20"/>
      <c r="MZQ7" s="20"/>
      <c r="MZR7" s="20"/>
      <c r="MZS7" s="20"/>
      <c r="MZT7" s="20"/>
      <c r="MZU7" s="20"/>
      <c r="MZV7" s="20"/>
      <c r="MZW7" s="20"/>
      <c r="MZX7" s="20"/>
      <c r="MZY7" s="20"/>
      <c r="MZZ7" s="20"/>
      <c r="NAA7" s="20"/>
      <c r="NAB7" s="20"/>
      <c r="NAC7" s="20"/>
      <c r="NAD7" s="20"/>
      <c r="NAE7" s="20"/>
      <c r="NAF7" s="20"/>
      <c r="NAG7" s="20"/>
      <c r="NAH7" s="20"/>
      <c r="NAI7" s="20"/>
      <c r="NAJ7" s="20"/>
      <c r="NAK7" s="20"/>
      <c r="NAL7" s="20"/>
      <c r="NAM7" s="20"/>
      <c r="NAN7" s="20"/>
      <c r="NAO7" s="20"/>
      <c r="NAP7" s="20"/>
      <c r="NAQ7" s="20"/>
      <c r="NAR7" s="20"/>
      <c r="NAS7" s="20"/>
      <c r="NAT7" s="20"/>
      <c r="NAU7" s="20"/>
      <c r="NAV7" s="20"/>
      <c r="NAW7" s="20"/>
      <c r="NAX7" s="20"/>
      <c r="NAY7" s="20"/>
      <c r="NAZ7" s="20"/>
      <c r="NBA7" s="20"/>
      <c r="NBB7" s="20"/>
      <c r="NBC7" s="20"/>
      <c r="NBD7" s="20"/>
      <c r="NBE7" s="20"/>
      <c r="NBF7" s="20"/>
      <c r="NBG7" s="20"/>
      <c r="NBH7" s="20"/>
      <c r="NBI7" s="20"/>
      <c r="NBJ7" s="20"/>
      <c r="NBK7" s="20"/>
      <c r="NBL7" s="20"/>
      <c r="NBM7" s="20"/>
      <c r="NBN7" s="20"/>
      <c r="NBO7" s="20"/>
      <c r="NBP7" s="20"/>
      <c r="NBQ7" s="20"/>
      <c r="NBR7" s="20"/>
      <c r="NBS7" s="20"/>
      <c r="NBT7" s="20"/>
      <c r="NBU7" s="20"/>
      <c r="NBV7" s="20"/>
      <c r="NBW7" s="20"/>
      <c r="NBX7" s="20"/>
      <c r="NBY7" s="20"/>
      <c r="NBZ7" s="20"/>
      <c r="NCA7" s="20"/>
      <c r="NCB7" s="20"/>
      <c r="NCC7" s="20"/>
      <c r="NCD7" s="20"/>
      <c r="NCE7" s="20"/>
      <c r="NCF7" s="20"/>
      <c r="NCG7" s="20"/>
      <c r="NCH7" s="20"/>
      <c r="NCI7" s="20"/>
      <c r="NCJ7" s="20"/>
      <c r="NCK7" s="20"/>
      <c r="NCL7" s="20"/>
      <c r="NCM7" s="20"/>
      <c r="NCN7" s="20"/>
      <c r="NCO7" s="20"/>
      <c r="NCP7" s="20"/>
      <c r="NCQ7" s="20"/>
      <c r="NCR7" s="20"/>
      <c r="NCS7" s="20"/>
      <c r="NCT7" s="20"/>
      <c r="NCU7" s="20"/>
      <c r="NCV7" s="20"/>
      <c r="NCW7" s="20"/>
      <c r="NCX7" s="20"/>
      <c r="NCY7" s="20"/>
      <c r="NCZ7" s="20"/>
      <c r="NDA7" s="20"/>
      <c r="NDB7" s="20"/>
      <c r="NDC7" s="20"/>
      <c r="NDD7" s="20"/>
      <c r="NDE7" s="20"/>
      <c r="NDF7" s="20"/>
      <c r="NDG7" s="20"/>
      <c r="NDH7" s="20"/>
      <c r="NDI7" s="20"/>
      <c r="NDJ7" s="20"/>
      <c r="NDK7" s="20"/>
      <c r="NDL7" s="20"/>
      <c r="NDM7" s="20"/>
      <c r="NDN7" s="20"/>
      <c r="NDO7" s="20"/>
      <c r="NDP7" s="20"/>
      <c r="NDQ7" s="20"/>
      <c r="NDR7" s="20"/>
      <c r="NDS7" s="20"/>
      <c r="NDT7" s="20"/>
      <c r="NDU7" s="20"/>
      <c r="NDV7" s="20"/>
      <c r="NDW7" s="20"/>
      <c r="NDX7" s="20"/>
      <c r="NDY7" s="20"/>
      <c r="NDZ7" s="20"/>
      <c r="NEA7" s="20"/>
      <c r="NEB7" s="20"/>
      <c r="NEC7" s="20"/>
      <c r="NED7" s="20"/>
      <c r="NEE7" s="20"/>
      <c r="NEF7" s="20"/>
      <c r="NEG7" s="20"/>
      <c r="NEH7" s="20"/>
      <c r="NEI7" s="20"/>
      <c r="NEJ7" s="20"/>
      <c r="NEK7" s="20"/>
      <c r="NEL7" s="20"/>
      <c r="NEM7" s="20"/>
      <c r="NEN7" s="20"/>
      <c r="NEO7" s="20"/>
      <c r="NEP7" s="20"/>
      <c r="NEQ7" s="20"/>
      <c r="NER7" s="20"/>
      <c r="NES7" s="20"/>
      <c r="NET7" s="20"/>
      <c r="NEU7" s="20"/>
      <c r="NEV7" s="20"/>
      <c r="NEW7" s="20"/>
      <c r="NEX7" s="20"/>
      <c r="NEY7" s="20"/>
      <c r="NEZ7" s="20"/>
      <c r="NFA7" s="20"/>
      <c r="NFB7" s="20"/>
      <c r="NFC7" s="20"/>
      <c r="NFD7" s="20"/>
      <c r="NFE7" s="20"/>
      <c r="NFF7" s="20"/>
      <c r="NFG7" s="20"/>
      <c r="NFH7" s="20"/>
      <c r="NFI7" s="20"/>
      <c r="NFJ7" s="20"/>
      <c r="NFK7" s="20"/>
      <c r="NFL7" s="20"/>
      <c r="NFM7" s="20"/>
      <c r="NFN7" s="20"/>
      <c r="NFO7" s="20"/>
      <c r="NFP7" s="20"/>
      <c r="NFQ7" s="20"/>
      <c r="NFR7" s="20"/>
      <c r="NFS7" s="20"/>
      <c r="NFT7" s="20"/>
      <c r="NFU7" s="20"/>
      <c r="NFV7" s="20"/>
      <c r="NFW7" s="20"/>
      <c r="NFX7" s="20"/>
      <c r="NFY7" s="20"/>
      <c r="NFZ7" s="20"/>
      <c r="NGA7" s="20"/>
      <c r="NGB7" s="20"/>
      <c r="NGC7" s="20"/>
      <c r="NGD7" s="20"/>
      <c r="NGE7" s="20"/>
      <c r="NGF7" s="20"/>
      <c r="NGG7" s="20"/>
      <c r="NGH7" s="20"/>
      <c r="NGI7" s="20"/>
      <c r="NGJ7" s="20"/>
      <c r="NGK7" s="20"/>
      <c r="NGL7" s="20"/>
      <c r="NGM7" s="20"/>
      <c r="NGN7" s="20"/>
      <c r="NGO7" s="20"/>
      <c r="NGP7" s="20"/>
      <c r="NGQ7" s="20"/>
      <c r="NGR7" s="20"/>
      <c r="NGS7" s="20"/>
      <c r="NGT7" s="20"/>
      <c r="NGU7" s="20"/>
      <c r="NGV7" s="20"/>
      <c r="NGW7" s="20"/>
      <c r="NGX7" s="20"/>
      <c r="NGY7" s="20"/>
      <c r="NGZ7" s="20"/>
      <c r="NHA7" s="20"/>
      <c r="NHB7" s="20"/>
      <c r="NHC7" s="20"/>
      <c r="NHD7" s="20"/>
      <c r="NHE7" s="20"/>
      <c r="NHF7" s="20"/>
      <c r="NHG7" s="20"/>
      <c r="NHH7" s="20"/>
      <c r="NHI7" s="20"/>
      <c r="NHJ7" s="20"/>
      <c r="NHK7" s="20"/>
      <c r="NHL7" s="20"/>
      <c r="NHM7" s="20"/>
      <c r="NHN7" s="20"/>
      <c r="NHO7" s="20"/>
      <c r="NHP7" s="20"/>
      <c r="NHQ7" s="20"/>
      <c r="NHR7" s="20"/>
      <c r="NHS7" s="20"/>
      <c r="NHT7" s="20"/>
      <c r="NHU7" s="20"/>
      <c r="NHV7" s="20"/>
      <c r="NHW7" s="20"/>
      <c r="NHX7" s="20"/>
      <c r="NHY7" s="20"/>
      <c r="NHZ7" s="20"/>
      <c r="NIA7" s="20"/>
      <c r="NIB7" s="20"/>
      <c r="NIC7" s="20"/>
      <c r="NID7" s="20"/>
      <c r="NIE7" s="20"/>
      <c r="NIF7" s="20"/>
      <c r="NIG7" s="20"/>
      <c r="NIH7" s="20"/>
      <c r="NII7" s="20"/>
      <c r="NIJ7" s="20"/>
      <c r="NIK7" s="20"/>
      <c r="NIL7" s="20"/>
      <c r="NIM7" s="20"/>
      <c r="NIN7" s="20"/>
      <c r="NIO7" s="20"/>
      <c r="NIP7" s="20"/>
      <c r="NIQ7" s="20"/>
      <c r="NIR7" s="20"/>
      <c r="NIS7" s="20"/>
      <c r="NIT7" s="20"/>
      <c r="NIU7" s="20"/>
      <c r="NIV7" s="20"/>
      <c r="NIW7" s="20"/>
      <c r="NIX7" s="20"/>
      <c r="NIY7" s="20"/>
      <c r="NIZ7" s="20"/>
      <c r="NJA7" s="20"/>
      <c r="NJB7" s="20"/>
      <c r="NJC7" s="20"/>
      <c r="NJD7" s="20"/>
      <c r="NJE7" s="20"/>
      <c r="NJF7" s="20"/>
      <c r="NJG7" s="20"/>
      <c r="NJH7" s="20"/>
      <c r="NJI7" s="20"/>
      <c r="NJJ7" s="20"/>
      <c r="NJK7" s="20"/>
      <c r="NJL7" s="20"/>
      <c r="NJM7" s="20"/>
      <c r="NJN7" s="20"/>
      <c r="NJO7" s="20"/>
      <c r="NJP7" s="20"/>
      <c r="NJQ7" s="20"/>
      <c r="NJR7" s="20"/>
      <c r="NJS7" s="20"/>
      <c r="NJT7" s="20"/>
      <c r="NJU7" s="20"/>
      <c r="NJV7" s="20"/>
      <c r="NJW7" s="20"/>
      <c r="NJX7" s="20"/>
      <c r="NJY7" s="20"/>
      <c r="NJZ7" s="20"/>
      <c r="NKA7" s="20"/>
      <c r="NKB7" s="20"/>
      <c r="NKC7" s="20"/>
      <c r="NKD7" s="20"/>
      <c r="NKE7" s="20"/>
      <c r="NKF7" s="20"/>
      <c r="NKG7" s="20"/>
      <c r="NKH7" s="20"/>
      <c r="NKI7" s="20"/>
      <c r="NKJ7" s="20"/>
      <c r="NKK7" s="20"/>
      <c r="NKL7" s="20"/>
      <c r="NKM7" s="20"/>
      <c r="NKN7" s="20"/>
      <c r="NKO7" s="20"/>
      <c r="NKP7" s="20"/>
      <c r="NKQ7" s="20"/>
      <c r="NKR7" s="20"/>
      <c r="NKS7" s="20"/>
      <c r="NKT7" s="20"/>
      <c r="NKU7" s="20"/>
      <c r="NKV7" s="20"/>
      <c r="NKW7" s="20"/>
      <c r="NKX7" s="20"/>
      <c r="NKY7" s="20"/>
      <c r="NKZ7" s="20"/>
      <c r="NLA7" s="20"/>
      <c r="NLB7" s="20"/>
      <c r="NLC7" s="20"/>
      <c r="NLD7" s="20"/>
      <c r="NLE7" s="20"/>
      <c r="NLF7" s="20"/>
      <c r="NLG7" s="20"/>
      <c r="NLH7" s="20"/>
      <c r="NLI7" s="20"/>
      <c r="NLJ7" s="20"/>
      <c r="NLK7" s="20"/>
      <c r="NLL7" s="20"/>
      <c r="NLM7" s="20"/>
      <c r="NLN7" s="20"/>
      <c r="NLO7" s="20"/>
      <c r="NLP7" s="20"/>
      <c r="NLQ7" s="20"/>
      <c r="NLR7" s="20"/>
      <c r="NLS7" s="20"/>
      <c r="NLT7" s="20"/>
      <c r="NLU7" s="20"/>
      <c r="NLV7" s="20"/>
      <c r="NLW7" s="20"/>
      <c r="NLX7" s="20"/>
      <c r="NLY7" s="20"/>
      <c r="NLZ7" s="20"/>
      <c r="NMA7" s="20"/>
      <c r="NMB7" s="20"/>
      <c r="NMC7" s="20"/>
      <c r="NMD7" s="20"/>
      <c r="NME7" s="20"/>
      <c r="NMF7" s="20"/>
      <c r="NMG7" s="20"/>
      <c r="NMH7" s="20"/>
      <c r="NMI7" s="20"/>
      <c r="NMJ7" s="20"/>
      <c r="NMK7" s="20"/>
      <c r="NML7" s="20"/>
      <c r="NMM7" s="20"/>
      <c r="NMN7" s="20"/>
      <c r="NMO7" s="20"/>
      <c r="NMP7" s="20"/>
      <c r="NMQ7" s="20"/>
      <c r="NMR7" s="20"/>
      <c r="NMS7" s="20"/>
      <c r="NMT7" s="20"/>
      <c r="NMU7" s="20"/>
      <c r="NMV7" s="20"/>
      <c r="NMW7" s="20"/>
      <c r="NMX7" s="20"/>
      <c r="NMY7" s="20"/>
      <c r="NMZ7" s="20"/>
      <c r="NNA7" s="20"/>
      <c r="NNB7" s="20"/>
      <c r="NNC7" s="20"/>
      <c r="NND7" s="20"/>
      <c r="NNE7" s="20"/>
      <c r="NNF7" s="20"/>
      <c r="NNG7" s="20"/>
      <c r="NNH7" s="20"/>
      <c r="NNI7" s="20"/>
      <c r="NNJ7" s="20"/>
      <c r="NNK7" s="20"/>
      <c r="NNL7" s="20"/>
      <c r="NNM7" s="20"/>
      <c r="NNN7" s="20"/>
      <c r="NNO7" s="20"/>
      <c r="NNP7" s="20"/>
      <c r="NNQ7" s="20"/>
      <c r="NNR7" s="20"/>
      <c r="NNS7" s="20"/>
      <c r="NNT7" s="20"/>
      <c r="NNU7" s="20"/>
      <c r="NNV7" s="20"/>
      <c r="NNW7" s="20"/>
      <c r="NNX7" s="20"/>
      <c r="NNY7" s="20"/>
      <c r="NNZ7" s="20"/>
      <c r="NOA7" s="20"/>
      <c r="NOB7" s="20"/>
      <c r="NOC7" s="20"/>
      <c r="NOD7" s="20"/>
      <c r="NOE7" s="20"/>
      <c r="NOF7" s="20"/>
      <c r="NOG7" s="20"/>
      <c r="NOH7" s="20"/>
      <c r="NOI7" s="20"/>
      <c r="NOJ7" s="20"/>
      <c r="NOK7" s="20"/>
      <c r="NOL7" s="20"/>
      <c r="NOM7" s="20"/>
      <c r="NON7" s="20"/>
      <c r="NOO7" s="20"/>
      <c r="NOP7" s="20"/>
      <c r="NOQ7" s="20"/>
      <c r="NOR7" s="20"/>
      <c r="NOS7" s="20"/>
      <c r="NOT7" s="20"/>
      <c r="NOU7" s="20"/>
      <c r="NOV7" s="20"/>
      <c r="NOW7" s="20"/>
      <c r="NOX7" s="20"/>
      <c r="NOY7" s="20"/>
      <c r="NOZ7" s="20"/>
      <c r="NPA7" s="20"/>
      <c r="NPB7" s="20"/>
      <c r="NPC7" s="20"/>
      <c r="NPD7" s="20"/>
      <c r="NPE7" s="20"/>
      <c r="NPF7" s="20"/>
      <c r="NPG7" s="20"/>
      <c r="NPH7" s="20"/>
      <c r="NPI7" s="20"/>
      <c r="NPJ7" s="20"/>
      <c r="NPK7" s="20"/>
      <c r="NPL7" s="20"/>
      <c r="NPM7" s="20"/>
      <c r="NPN7" s="20"/>
      <c r="NPO7" s="20"/>
      <c r="NPP7" s="20"/>
      <c r="NPQ7" s="20"/>
      <c r="NPR7" s="20"/>
      <c r="NPS7" s="20"/>
      <c r="NPT7" s="20"/>
      <c r="NPU7" s="20"/>
      <c r="NPV7" s="20"/>
      <c r="NPW7" s="20"/>
      <c r="NPX7" s="20"/>
      <c r="NPY7" s="20"/>
      <c r="NPZ7" s="20"/>
      <c r="NQA7" s="20"/>
      <c r="NQB7" s="20"/>
      <c r="NQC7" s="20"/>
      <c r="NQD7" s="20"/>
      <c r="NQE7" s="20"/>
      <c r="NQF7" s="20"/>
      <c r="NQG7" s="20"/>
      <c r="NQH7" s="20"/>
      <c r="NQI7" s="20"/>
      <c r="NQJ7" s="20"/>
      <c r="NQK7" s="20"/>
      <c r="NQL7" s="20"/>
      <c r="NQM7" s="20"/>
      <c r="NQN7" s="20"/>
      <c r="NQO7" s="20"/>
      <c r="NQP7" s="20"/>
      <c r="NQQ7" s="20"/>
      <c r="NQR7" s="20"/>
      <c r="NQS7" s="20"/>
      <c r="NQT7" s="20"/>
      <c r="NQU7" s="20"/>
      <c r="NQV7" s="20"/>
      <c r="NQW7" s="20"/>
      <c r="NQX7" s="20"/>
      <c r="NQY7" s="20"/>
      <c r="NQZ7" s="20"/>
      <c r="NRA7" s="20"/>
      <c r="NRB7" s="20"/>
      <c r="NRC7" s="20"/>
      <c r="NRD7" s="20"/>
      <c r="NRE7" s="20"/>
      <c r="NRF7" s="20"/>
      <c r="NRG7" s="20"/>
      <c r="NRH7" s="20"/>
      <c r="NRI7" s="20"/>
      <c r="NRJ7" s="20"/>
      <c r="NRK7" s="20"/>
      <c r="NRL7" s="20"/>
      <c r="NRM7" s="20"/>
      <c r="NRN7" s="20"/>
      <c r="NRO7" s="20"/>
      <c r="NRP7" s="20"/>
      <c r="NRQ7" s="20"/>
      <c r="NRR7" s="20"/>
      <c r="NRS7" s="20"/>
      <c r="NRT7" s="20"/>
      <c r="NRU7" s="20"/>
      <c r="NRV7" s="20"/>
      <c r="NRW7" s="20"/>
      <c r="NRX7" s="20"/>
      <c r="NRY7" s="20"/>
      <c r="NRZ7" s="20"/>
      <c r="NSA7" s="20"/>
      <c r="NSB7" s="20"/>
      <c r="NSC7" s="20"/>
      <c r="NSD7" s="20"/>
      <c r="NSE7" s="20"/>
      <c r="NSF7" s="20"/>
      <c r="NSG7" s="20"/>
      <c r="NSH7" s="20"/>
      <c r="NSI7" s="20"/>
      <c r="NSJ7" s="20"/>
      <c r="NSK7" s="20"/>
      <c r="NSL7" s="20"/>
      <c r="NSM7" s="20"/>
      <c r="NSN7" s="20"/>
      <c r="NSO7" s="20"/>
      <c r="NSP7" s="20"/>
      <c r="NSQ7" s="20"/>
      <c r="NSR7" s="20"/>
      <c r="NSS7" s="20"/>
      <c r="NST7" s="20"/>
      <c r="NSU7" s="20"/>
      <c r="NSV7" s="20"/>
      <c r="NSW7" s="20"/>
      <c r="NSX7" s="20"/>
      <c r="NSY7" s="20"/>
      <c r="NSZ7" s="20"/>
      <c r="NTA7" s="20"/>
      <c r="NTB7" s="20"/>
      <c r="NTC7" s="20"/>
      <c r="NTD7" s="20"/>
      <c r="NTE7" s="20"/>
      <c r="NTF7" s="20"/>
      <c r="NTG7" s="20"/>
      <c r="NTH7" s="20"/>
      <c r="NTI7" s="20"/>
      <c r="NTJ7" s="20"/>
      <c r="NTK7" s="20"/>
      <c r="NTL7" s="20"/>
      <c r="NTM7" s="20"/>
      <c r="NTN7" s="20"/>
      <c r="NTO7" s="20"/>
      <c r="NTP7" s="20"/>
      <c r="NTQ7" s="20"/>
      <c r="NTR7" s="20"/>
      <c r="NTS7" s="20"/>
      <c r="NTT7" s="20"/>
      <c r="NTU7" s="20"/>
      <c r="NTV7" s="20"/>
      <c r="NTW7" s="20"/>
      <c r="NTX7" s="20"/>
      <c r="NTY7" s="20"/>
      <c r="NTZ7" s="20"/>
      <c r="NUA7" s="20"/>
      <c r="NUB7" s="20"/>
      <c r="NUC7" s="20"/>
      <c r="NUD7" s="20"/>
      <c r="NUE7" s="20"/>
      <c r="NUF7" s="20"/>
      <c r="NUG7" s="20"/>
      <c r="NUH7" s="20"/>
      <c r="NUI7" s="20"/>
      <c r="NUJ7" s="20"/>
      <c r="NUK7" s="20"/>
      <c r="NUL7" s="20"/>
      <c r="NUM7" s="20"/>
      <c r="NUN7" s="20"/>
      <c r="NUO7" s="20"/>
      <c r="NUP7" s="20"/>
      <c r="NUQ7" s="20"/>
      <c r="NUR7" s="20"/>
      <c r="NUS7" s="20"/>
      <c r="NUT7" s="20"/>
      <c r="NUU7" s="20"/>
      <c r="NUV7" s="20"/>
      <c r="NUW7" s="20"/>
      <c r="NUX7" s="20"/>
      <c r="NUY7" s="20"/>
      <c r="NUZ7" s="20"/>
      <c r="NVA7" s="20"/>
      <c r="NVB7" s="20"/>
      <c r="NVC7" s="20"/>
      <c r="NVD7" s="20"/>
      <c r="NVE7" s="20"/>
      <c r="NVF7" s="20"/>
      <c r="NVG7" s="20"/>
      <c r="NVH7" s="20"/>
      <c r="NVI7" s="20"/>
      <c r="NVJ7" s="20"/>
      <c r="NVK7" s="20"/>
      <c r="NVL7" s="20"/>
      <c r="NVM7" s="20"/>
      <c r="NVN7" s="20"/>
      <c r="NVO7" s="20"/>
      <c r="NVP7" s="20"/>
      <c r="NVQ7" s="20"/>
      <c r="NVR7" s="20"/>
      <c r="NVS7" s="20"/>
      <c r="NVT7" s="20"/>
      <c r="NVU7" s="20"/>
      <c r="NVV7" s="20"/>
      <c r="NVW7" s="20"/>
      <c r="NVX7" s="20"/>
      <c r="NVY7" s="20"/>
      <c r="NVZ7" s="20"/>
      <c r="NWA7" s="20"/>
      <c r="NWB7" s="20"/>
      <c r="NWC7" s="20"/>
      <c r="NWD7" s="20"/>
      <c r="NWE7" s="20"/>
      <c r="NWF7" s="20"/>
      <c r="NWG7" s="20"/>
      <c r="NWH7" s="20"/>
      <c r="NWI7" s="20"/>
      <c r="NWJ7" s="20"/>
      <c r="NWK7" s="20"/>
      <c r="NWL7" s="20"/>
      <c r="NWM7" s="20"/>
      <c r="NWN7" s="20"/>
      <c r="NWO7" s="20"/>
      <c r="NWP7" s="20"/>
      <c r="NWQ7" s="20"/>
      <c r="NWR7" s="20"/>
      <c r="NWS7" s="20"/>
      <c r="NWT7" s="20"/>
      <c r="NWU7" s="20"/>
      <c r="NWV7" s="20"/>
      <c r="NWW7" s="20"/>
      <c r="NWX7" s="20"/>
      <c r="NWY7" s="20"/>
      <c r="NWZ7" s="20"/>
      <c r="NXA7" s="20"/>
      <c r="NXB7" s="20"/>
      <c r="NXC7" s="20"/>
      <c r="NXD7" s="20"/>
      <c r="NXE7" s="20"/>
      <c r="NXF7" s="20"/>
      <c r="NXG7" s="20"/>
      <c r="NXH7" s="20"/>
      <c r="NXI7" s="20"/>
      <c r="NXJ7" s="20"/>
      <c r="NXK7" s="20"/>
      <c r="NXL7" s="20"/>
      <c r="NXM7" s="20"/>
      <c r="NXN7" s="20"/>
      <c r="NXO7" s="20"/>
      <c r="NXP7" s="20"/>
      <c r="NXQ7" s="20"/>
      <c r="NXR7" s="20"/>
      <c r="NXS7" s="20"/>
      <c r="NXT7" s="20"/>
      <c r="NXU7" s="20"/>
      <c r="NXV7" s="20"/>
      <c r="NXW7" s="20"/>
      <c r="NXX7" s="20"/>
      <c r="NXY7" s="20"/>
      <c r="NXZ7" s="20"/>
      <c r="NYA7" s="20"/>
      <c r="NYB7" s="20"/>
      <c r="NYC7" s="20"/>
      <c r="NYD7" s="20"/>
      <c r="NYE7" s="20"/>
      <c r="NYF7" s="20"/>
      <c r="NYG7" s="20"/>
      <c r="NYH7" s="20"/>
      <c r="NYI7" s="20"/>
      <c r="NYJ7" s="20"/>
      <c r="NYK7" s="20"/>
      <c r="NYL7" s="20"/>
      <c r="NYM7" s="20"/>
      <c r="NYN7" s="20"/>
      <c r="NYO7" s="20"/>
      <c r="NYP7" s="20"/>
      <c r="NYQ7" s="20"/>
      <c r="NYR7" s="20"/>
      <c r="NYS7" s="20"/>
      <c r="NYT7" s="20"/>
      <c r="NYU7" s="20"/>
      <c r="NYV7" s="20"/>
      <c r="NYW7" s="20"/>
      <c r="NYX7" s="20"/>
      <c r="NYY7" s="20"/>
      <c r="NYZ7" s="20"/>
      <c r="NZA7" s="20"/>
      <c r="NZB7" s="20"/>
      <c r="NZC7" s="20"/>
      <c r="NZD7" s="20"/>
      <c r="NZE7" s="20"/>
      <c r="NZF7" s="20"/>
      <c r="NZG7" s="20"/>
      <c r="NZH7" s="20"/>
      <c r="NZI7" s="20"/>
      <c r="NZJ7" s="20"/>
      <c r="NZK7" s="20"/>
      <c r="NZL7" s="20"/>
      <c r="NZM7" s="20"/>
      <c r="NZN7" s="20"/>
      <c r="NZO7" s="20"/>
      <c r="NZP7" s="20"/>
      <c r="NZQ7" s="20"/>
      <c r="NZR7" s="20"/>
      <c r="NZS7" s="20"/>
      <c r="NZT7" s="20"/>
      <c r="NZU7" s="20"/>
      <c r="NZV7" s="20"/>
      <c r="NZW7" s="20"/>
      <c r="NZX7" s="20"/>
      <c r="NZY7" s="20"/>
      <c r="NZZ7" s="20"/>
      <c r="OAA7" s="20"/>
      <c r="OAB7" s="20"/>
      <c r="OAC7" s="20"/>
      <c r="OAD7" s="20"/>
      <c r="OAE7" s="20"/>
      <c r="OAF7" s="20"/>
      <c r="OAG7" s="20"/>
      <c r="OAH7" s="20"/>
      <c r="OAI7" s="20"/>
      <c r="OAJ7" s="20"/>
      <c r="OAK7" s="20"/>
      <c r="OAL7" s="20"/>
      <c r="OAM7" s="20"/>
      <c r="OAN7" s="20"/>
      <c r="OAO7" s="20"/>
      <c r="OAP7" s="20"/>
      <c r="OAQ7" s="20"/>
      <c r="OAR7" s="20"/>
      <c r="OAS7" s="20"/>
      <c r="OAT7" s="20"/>
      <c r="OAU7" s="20"/>
      <c r="OAV7" s="20"/>
      <c r="OAW7" s="20"/>
      <c r="OAX7" s="20"/>
      <c r="OAY7" s="20"/>
      <c r="OAZ7" s="20"/>
      <c r="OBA7" s="20"/>
      <c r="OBB7" s="20"/>
      <c r="OBC7" s="20"/>
      <c r="OBD7" s="20"/>
      <c r="OBE7" s="20"/>
      <c r="OBF7" s="20"/>
      <c r="OBG7" s="20"/>
      <c r="OBH7" s="20"/>
      <c r="OBI7" s="20"/>
      <c r="OBJ7" s="20"/>
      <c r="OBK7" s="20"/>
      <c r="OBL7" s="20"/>
      <c r="OBM7" s="20"/>
      <c r="OBN7" s="20"/>
      <c r="OBO7" s="20"/>
      <c r="OBP7" s="20"/>
      <c r="OBQ7" s="20"/>
      <c r="OBR7" s="20"/>
      <c r="OBS7" s="20"/>
      <c r="OBT7" s="20"/>
      <c r="OBU7" s="20"/>
      <c r="OBV7" s="20"/>
      <c r="OBW7" s="20"/>
      <c r="OBX7" s="20"/>
      <c r="OBY7" s="20"/>
      <c r="OBZ7" s="20"/>
      <c r="OCA7" s="20"/>
      <c r="OCB7" s="20"/>
      <c r="OCC7" s="20"/>
      <c r="OCD7" s="20"/>
      <c r="OCE7" s="20"/>
      <c r="OCF7" s="20"/>
      <c r="OCG7" s="20"/>
      <c r="OCH7" s="20"/>
      <c r="OCI7" s="20"/>
      <c r="OCJ7" s="20"/>
      <c r="OCK7" s="20"/>
      <c r="OCL7" s="20"/>
      <c r="OCM7" s="20"/>
      <c r="OCN7" s="20"/>
      <c r="OCO7" s="20"/>
      <c r="OCP7" s="20"/>
      <c r="OCQ7" s="20"/>
      <c r="OCR7" s="20"/>
      <c r="OCS7" s="20"/>
      <c r="OCT7" s="20"/>
      <c r="OCU7" s="20"/>
      <c r="OCV7" s="20"/>
      <c r="OCW7" s="20"/>
      <c r="OCX7" s="20"/>
      <c r="OCY7" s="20"/>
      <c r="OCZ7" s="20"/>
      <c r="ODA7" s="20"/>
      <c r="ODB7" s="20"/>
      <c r="ODC7" s="20"/>
      <c r="ODD7" s="20"/>
      <c r="ODE7" s="20"/>
      <c r="ODF7" s="20"/>
      <c r="ODG7" s="20"/>
      <c r="ODH7" s="20"/>
      <c r="ODI7" s="20"/>
      <c r="ODJ7" s="20"/>
      <c r="ODK7" s="20"/>
      <c r="ODL7" s="20"/>
      <c r="ODM7" s="20"/>
      <c r="ODN7" s="20"/>
      <c r="ODO7" s="20"/>
      <c r="ODP7" s="20"/>
      <c r="ODQ7" s="20"/>
      <c r="ODR7" s="20"/>
      <c r="ODS7" s="20"/>
      <c r="ODT7" s="20"/>
      <c r="ODU7" s="20"/>
      <c r="ODV7" s="20"/>
      <c r="ODW7" s="20"/>
      <c r="ODX7" s="20"/>
      <c r="ODY7" s="20"/>
      <c r="ODZ7" s="20"/>
      <c r="OEA7" s="20"/>
      <c r="OEB7" s="20"/>
      <c r="OEC7" s="20"/>
      <c r="OED7" s="20"/>
      <c r="OEE7" s="20"/>
      <c r="OEF7" s="20"/>
      <c r="OEG7" s="20"/>
      <c r="OEH7" s="20"/>
      <c r="OEI7" s="20"/>
      <c r="OEJ7" s="20"/>
      <c r="OEK7" s="20"/>
      <c r="OEL7" s="20"/>
      <c r="OEM7" s="20"/>
      <c r="OEN7" s="20"/>
      <c r="OEO7" s="20"/>
      <c r="OEP7" s="20"/>
      <c r="OEQ7" s="20"/>
      <c r="OER7" s="20"/>
      <c r="OES7" s="20"/>
      <c r="OET7" s="20"/>
      <c r="OEU7" s="20"/>
      <c r="OEV7" s="20"/>
      <c r="OEW7" s="20"/>
      <c r="OEX7" s="20"/>
      <c r="OEY7" s="20"/>
      <c r="OEZ7" s="20"/>
      <c r="OFA7" s="20"/>
      <c r="OFB7" s="20"/>
      <c r="OFC7" s="20"/>
      <c r="OFD7" s="20"/>
      <c r="OFE7" s="20"/>
      <c r="OFF7" s="20"/>
      <c r="OFG7" s="20"/>
      <c r="OFH7" s="20"/>
      <c r="OFI7" s="20"/>
      <c r="OFJ7" s="20"/>
      <c r="OFK7" s="20"/>
      <c r="OFL7" s="20"/>
      <c r="OFM7" s="20"/>
      <c r="OFN7" s="20"/>
      <c r="OFO7" s="20"/>
      <c r="OFP7" s="20"/>
      <c r="OFQ7" s="20"/>
      <c r="OFR7" s="20"/>
      <c r="OFS7" s="20"/>
      <c r="OFT7" s="20"/>
      <c r="OFU7" s="20"/>
      <c r="OFV7" s="20"/>
      <c r="OFW7" s="20"/>
      <c r="OFX7" s="20"/>
      <c r="OFY7" s="20"/>
      <c r="OFZ7" s="20"/>
      <c r="OGA7" s="20"/>
      <c r="OGB7" s="20"/>
      <c r="OGC7" s="20"/>
      <c r="OGD7" s="20"/>
      <c r="OGE7" s="20"/>
      <c r="OGF7" s="20"/>
      <c r="OGG7" s="20"/>
      <c r="OGH7" s="20"/>
      <c r="OGI7" s="20"/>
      <c r="OGJ7" s="20"/>
      <c r="OGK7" s="20"/>
      <c r="OGL7" s="20"/>
      <c r="OGM7" s="20"/>
      <c r="OGN7" s="20"/>
      <c r="OGO7" s="20"/>
      <c r="OGP7" s="20"/>
      <c r="OGQ7" s="20"/>
      <c r="OGR7" s="20"/>
      <c r="OGS7" s="20"/>
      <c r="OGT7" s="20"/>
      <c r="OGU7" s="20"/>
      <c r="OGV7" s="20"/>
      <c r="OGW7" s="20"/>
      <c r="OGX7" s="20"/>
      <c r="OGY7" s="20"/>
      <c r="OGZ7" s="20"/>
      <c r="OHA7" s="20"/>
      <c r="OHB7" s="20"/>
      <c r="OHC7" s="20"/>
      <c r="OHD7" s="20"/>
      <c r="OHE7" s="20"/>
      <c r="OHF7" s="20"/>
      <c r="OHG7" s="20"/>
      <c r="OHH7" s="20"/>
      <c r="OHI7" s="20"/>
      <c r="OHJ7" s="20"/>
      <c r="OHK7" s="20"/>
      <c r="OHL7" s="20"/>
      <c r="OHM7" s="20"/>
      <c r="OHN7" s="20"/>
      <c r="OHO7" s="20"/>
      <c r="OHP7" s="20"/>
      <c r="OHQ7" s="20"/>
      <c r="OHR7" s="20"/>
      <c r="OHS7" s="20"/>
      <c r="OHT7" s="20"/>
      <c r="OHU7" s="20"/>
      <c r="OHV7" s="20"/>
      <c r="OHW7" s="20"/>
      <c r="OHX7" s="20"/>
      <c r="OHY7" s="20"/>
      <c r="OHZ7" s="20"/>
      <c r="OIA7" s="20"/>
      <c r="OIB7" s="20"/>
      <c r="OIC7" s="20"/>
      <c r="OID7" s="20"/>
      <c r="OIE7" s="20"/>
      <c r="OIF7" s="20"/>
      <c r="OIG7" s="20"/>
      <c r="OIH7" s="20"/>
      <c r="OII7" s="20"/>
      <c r="OIJ7" s="20"/>
      <c r="OIK7" s="20"/>
      <c r="OIL7" s="20"/>
      <c r="OIM7" s="20"/>
      <c r="OIN7" s="20"/>
      <c r="OIO7" s="20"/>
      <c r="OIP7" s="20"/>
      <c r="OIQ7" s="20"/>
      <c r="OIR7" s="20"/>
      <c r="OIS7" s="20"/>
      <c r="OIT7" s="20"/>
      <c r="OIU7" s="20"/>
      <c r="OIV7" s="20"/>
      <c r="OIW7" s="20"/>
      <c r="OIX7" s="20"/>
      <c r="OIY7" s="20"/>
      <c r="OIZ7" s="20"/>
      <c r="OJA7" s="20"/>
      <c r="OJB7" s="20"/>
      <c r="OJC7" s="20"/>
      <c r="OJD7" s="20"/>
      <c r="OJE7" s="20"/>
      <c r="OJF7" s="20"/>
      <c r="OJG7" s="20"/>
      <c r="OJH7" s="20"/>
      <c r="OJI7" s="20"/>
      <c r="OJJ7" s="20"/>
      <c r="OJK7" s="20"/>
      <c r="OJL7" s="20"/>
      <c r="OJM7" s="20"/>
      <c r="OJN7" s="20"/>
      <c r="OJO7" s="20"/>
      <c r="OJP7" s="20"/>
      <c r="OJQ7" s="20"/>
      <c r="OJR7" s="20"/>
      <c r="OJS7" s="20"/>
      <c r="OJT7" s="20"/>
      <c r="OJU7" s="20"/>
      <c r="OJV7" s="20"/>
      <c r="OJW7" s="20"/>
      <c r="OJX7" s="20"/>
      <c r="OJY7" s="20"/>
      <c r="OJZ7" s="20"/>
      <c r="OKA7" s="20"/>
      <c r="OKB7" s="20"/>
      <c r="OKC7" s="20"/>
      <c r="OKD7" s="20"/>
      <c r="OKE7" s="20"/>
      <c r="OKF7" s="20"/>
      <c r="OKG7" s="20"/>
      <c r="OKH7" s="20"/>
      <c r="OKI7" s="20"/>
      <c r="OKJ7" s="20"/>
      <c r="OKK7" s="20"/>
      <c r="OKL7" s="20"/>
      <c r="OKM7" s="20"/>
      <c r="OKN7" s="20"/>
      <c r="OKO7" s="20"/>
      <c r="OKP7" s="20"/>
      <c r="OKQ7" s="20"/>
      <c r="OKR7" s="20"/>
      <c r="OKS7" s="20"/>
      <c r="OKT7" s="20"/>
      <c r="OKU7" s="20"/>
      <c r="OKV7" s="20"/>
      <c r="OKW7" s="20"/>
      <c r="OKX7" s="20"/>
      <c r="OKY7" s="20"/>
      <c r="OKZ7" s="20"/>
      <c r="OLA7" s="20"/>
      <c r="OLB7" s="20"/>
      <c r="OLC7" s="20"/>
      <c r="OLD7" s="20"/>
      <c r="OLE7" s="20"/>
      <c r="OLF7" s="20"/>
      <c r="OLG7" s="20"/>
      <c r="OLH7" s="20"/>
      <c r="OLI7" s="20"/>
      <c r="OLJ7" s="20"/>
      <c r="OLK7" s="20"/>
      <c r="OLL7" s="20"/>
      <c r="OLM7" s="20"/>
      <c r="OLN7" s="20"/>
      <c r="OLO7" s="20"/>
      <c r="OLP7" s="20"/>
      <c r="OLQ7" s="20"/>
      <c r="OLR7" s="20"/>
      <c r="OLS7" s="20"/>
      <c r="OLT7" s="20"/>
      <c r="OLU7" s="20"/>
      <c r="OLV7" s="20"/>
      <c r="OLW7" s="20"/>
      <c r="OLX7" s="20"/>
      <c r="OLY7" s="20"/>
      <c r="OLZ7" s="20"/>
      <c r="OMA7" s="20"/>
      <c r="OMB7" s="20"/>
      <c r="OMC7" s="20"/>
      <c r="OMD7" s="20"/>
      <c r="OME7" s="20"/>
      <c r="OMF7" s="20"/>
      <c r="OMG7" s="20"/>
      <c r="OMH7" s="20"/>
      <c r="OMI7" s="20"/>
      <c r="OMJ7" s="20"/>
      <c r="OMK7" s="20"/>
      <c r="OML7" s="20"/>
      <c r="OMM7" s="20"/>
      <c r="OMN7" s="20"/>
      <c r="OMO7" s="20"/>
      <c r="OMP7" s="20"/>
      <c r="OMQ7" s="20"/>
      <c r="OMR7" s="20"/>
      <c r="OMS7" s="20"/>
      <c r="OMT7" s="20"/>
      <c r="OMU7" s="20"/>
      <c r="OMV7" s="20"/>
      <c r="OMW7" s="20"/>
      <c r="OMX7" s="20"/>
      <c r="OMY7" s="20"/>
      <c r="OMZ7" s="20"/>
      <c r="ONA7" s="20"/>
      <c r="ONB7" s="20"/>
      <c r="ONC7" s="20"/>
      <c r="OND7" s="20"/>
      <c r="ONE7" s="20"/>
      <c r="ONF7" s="20"/>
      <c r="ONG7" s="20"/>
      <c r="ONH7" s="20"/>
      <c r="ONI7" s="20"/>
      <c r="ONJ7" s="20"/>
      <c r="ONK7" s="20"/>
      <c r="ONL7" s="20"/>
      <c r="ONM7" s="20"/>
      <c r="ONN7" s="20"/>
      <c r="ONO7" s="20"/>
      <c r="ONP7" s="20"/>
      <c r="ONQ7" s="20"/>
      <c r="ONR7" s="20"/>
      <c r="ONS7" s="20"/>
      <c r="ONT7" s="20"/>
      <c r="ONU7" s="20"/>
      <c r="ONV7" s="20"/>
      <c r="ONW7" s="20"/>
      <c r="ONX7" s="20"/>
      <c r="ONY7" s="20"/>
      <c r="ONZ7" s="20"/>
      <c r="OOA7" s="20"/>
      <c r="OOB7" s="20"/>
      <c r="OOC7" s="20"/>
      <c r="OOD7" s="20"/>
      <c r="OOE7" s="20"/>
      <c r="OOF7" s="20"/>
      <c r="OOG7" s="20"/>
      <c r="OOH7" s="20"/>
      <c r="OOI7" s="20"/>
      <c r="OOJ7" s="20"/>
      <c r="OOK7" s="20"/>
      <c r="OOL7" s="20"/>
      <c r="OOM7" s="20"/>
      <c r="OON7" s="20"/>
      <c r="OOO7" s="20"/>
      <c r="OOP7" s="20"/>
      <c r="OOQ7" s="20"/>
      <c r="OOR7" s="20"/>
      <c r="OOS7" s="20"/>
      <c r="OOT7" s="20"/>
      <c r="OOU7" s="20"/>
      <c r="OOV7" s="20"/>
      <c r="OOW7" s="20"/>
      <c r="OOX7" s="20"/>
      <c r="OOY7" s="20"/>
      <c r="OOZ7" s="20"/>
      <c r="OPA7" s="20"/>
      <c r="OPB7" s="20"/>
      <c r="OPC7" s="20"/>
      <c r="OPD7" s="20"/>
      <c r="OPE7" s="20"/>
      <c r="OPF7" s="20"/>
      <c r="OPG7" s="20"/>
      <c r="OPH7" s="20"/>
      <c r="OPI7" s="20"/>
      <c r="OPJ7" s="20"/>
      <c r="OPK7" s="20"/>
      <c r="OPL7" s="20"/>
      <c r="OPM7" s="20"/>
      <c r="OPN7" s="20"/>
      <c r="OPO7" s="20"/>
      <c r="OPP7" s="20"/>
      <c r="OPQ7" s="20"/>
      <c r="OPR7" s="20"/>
      <c r="OPS7" s="20"/>
      <c r="OPT7" s="20"/>
      <c r="OPU7" s="20"/>
      <c r="OPV7" s="20"/>
      <c r="OPW7" s="20"/>
      <c r="OPX7" s="20"/>
      <c r="OPY7" s="20"/>
      <c r="OPZ7" s="20"/>
      <c r="OQA7" s="20"/>
      <c r="OQB7" s="20"/>
      <c r="OQC7" s="20"/>
      <c r="OQD7" s="20"/>
      <c r="OQE7" s="20"/>
      <c r="OQF7" s="20"/>
      <c r="OQG7" s="20"/>
      <c r="OQH7" s="20"/>
      <c r="OQI7" s="20"/>
      <c r="OQJ7" s="20"/>
      <c r="OQK7" s="20"/>
      <c r="OQL7" s="20"/>
      <c r="OQM7" s="20"/>
      <c r="OQN7" s="20"/>
      <c r="OQO7" s="20"/>
      <c r="OQP7" s="20"/>
      <c r="OQQ7" s="20"/>
      <c r="OQR7" s="20"/>
      <c r="OQS7" s="20"/>
      <c r="OQT7" s="20"/>
      <c r="OQU7" s="20"/>
      <c r="OQV7" s="20"/>
      <c r="OQW7" s="20"/>
      <c r="OQX7" s="20"/>
      <c r="OQY7" s="20"/>
      <c r="OQZ7" s="20"/>
      <c r="ORA7" s="20"/>
      <c r="ORB7" s="20"/>
      <c r="ORC7" s="20"/>
      <c r="ORD7" s="20"/>
      <c r="ORE7" s="20"/>
      <c r="ORF7" s="20"/>
      <c r="ORG7" s="20"/>
      <c r="ORH7" s="20"/>
      <c r="ORI7" s="20"/>
      <c r="ORJ7" s="20"/>
      <c r="ORK7" s="20"/>
      <c r="ORL7" s="20"/>
      <c r="ORM7" s="20"/>
      <c r="ORN7" s="20"/>
      <c r="ORO7" s="20"/>
      <c r="ORP7" s="20"/>
      <c r="ORQ7" s="20"/>
      <c r="ORR7" s="20"/>
      <c r="ORS7" s="20"/>
      <c r="ORT7" s="20"/>
      <c r="ORU7" s="20"/>
      <c r="ORV7" s="20"/>
      <c r="ORW7" s="20"/>
      <c r="ORX7" s="20"/>
      <c r="ORY7" s="20"/>
      <c r="ORZ7" s="20"/>
      <c r="OSA7" s="20"/>
      <c r="OSB7" s="20"/>
      <c r="OSC7" s="20"/>
      <c r="OSD7" s="20"/>
      <c r="OSE7" s="20"/>
      <c r="OSF7" s="20"/>
      <c r="OSG7" s="20"/>
      <c r="OSH7" s="20"/>
      <c r="OSI7" s="20"/>
      <c r="OSJ7" s="20"/>
      <c r="OSK7" s="20"/>
      <c r="OSL7" s="20"/>
      <c r="OSM7" s="20"/>
      <c r="OSN7" s="20"/>
      <c r="OSO7" s="20"/>
      <c r="OSP7" s="20"/>
      <c r="OSQ7" s="20"/>
      <c r="OSR7" s="20"/>
      <c r="OSS7" s="20"/>
      <c r="OST7" s="20"/>
      <c r="OSU7" s="20"/>
      <c r="OSV7" s="20"/>
      <c r="OSW7" s="20"/>
      <c r="OSX7" s="20"/>
      <c r="OSY7" s="20"/>
      <c r="OSZ7" s="20"/>
      <c r="OTA7" s="20"/>
      <c r="OTB7" s="20"/>
      <c r="OTC7" s="20"/>
      <c r="OTD7" s="20"/>
      <c r="OTE7" s="20"/>
      <c r="OTF7" s="20"/>
      <c r="OTG7" s="20"/>
      <c r="OTH7" s="20"/>
      <c r="OTI7" s="20"/>
      <c r="OTJ7" s="20"/>
      <c r="OTK7" s="20"/>
      <c r="OTL7" s="20"/>
      <c r="OTM7" s="20"/>
      <c r="OTN7" s="20"/>
      <c r="OTO7" s="20"/>
      <c r="OTP7" s="20"/>
      <c r="OTQ7" s="20"/>
      <c r="OTR7" s="20"/>
      <c r="OTS7" s="20"/>
      <c r="OTT7" s="20"/>
      <c r="OTU7" s="20"/>
      <c r="OTV7" s="20"/>
      <c r="OTW7" s="20"/>
      <c r="OTX7" s="20"/>
      <c r="OTY7" s="20"/>
      <c r="OTZ7" s="20"/>
      <c r="OUA7" s="20"/>
      <c r="OUB7" s="20"/>
      <c r="OUC7" s="20"/>
      <c r="OUD7" s="20"/>
      <c r="OUE7" s="20"/>
      <c r="OUF7" s="20"/>
      <c r="OUG7" s="20"/>
      <c r="OUH7" s="20"/>
      <c r="OUI7" s="20"/>
      <c r="OUJ7" s="20"/>
      <c r="OUK7" s="20"/>
      <c r="OUL7" s="20"/>
      <c r="OUM7" s="20"/>
      <c r="OUN7" s="20"/>
      <c r="OUO7" s="20"/>
      <c r="OUP7" s="20"/>
      <c r="OUQ7" s="20"/>
      <c r="OUR7" s="20"/>
      <c r="OUS7" s="20"/>
      <c r="OUT7" s="20"/>
      <c r="OUU7" s="20"/>
      <c r="OUV7" s="20"/>
      <c r="OUW7" s="20"/>
      <c r="OUX7" s="20"/>
      <c r="OUY7" s="20"/>
      <c r="OUZ7" s="20"/>
      <c r="OVA7" s="20"/>
      <c r="OVB7" s="20"/>
      <c r="OVC7" s="20"/>
      <c r="OVD7" s="20"/>
      <c r="OVE7" s="20"/>
      <c r="OVF7" s="20"/>
      <c r="OVG7" s="20"/>
      <c r="OVH7" s="20"/>
      <c r="OVI7" s="20"/>
      <c r="OVJ7" s="20"/>
      <c r="OVK7" s="20"/>
      <c r="OVL7" s="20"/>
      <c r="OVM7" s="20"/>
      <c r="OVN7" s="20"/>
      <c r="OVO7" s="20"/>
      <c r="OVP7" s="20"/>
      <c r="OVQ7" s="20"/>
      <c r="OVR7" s="20"/>
      <c r="OVS7" s="20"/>
      <c r="OVT7" s="20"/>
      <c r="OVU7" s="20"/>
      <c r="OVV7" s="20"/>
      <c r="OVW7" s="20"/>
      <c r="OVX7" s="20"/>
      <c r="OVY7" s="20"/>
      <c r="OVZ7" s="20"/>
      <c r="OWA7" s="20"/>
      <c r="OWB7" s="20"/>
      <c r="OWC7" s="20"/>
      <c r="OWD7" s="20"/>
      <c r="OWE7" s="20"/>
      <c r="OWF7" s="20"/>
      <c r="OWG7" s="20"/>
      <c r="OWH7" s="20"/>
      <c r="OWI7" s="20"/>
      <c r="OWJ7" s="20"/>
      <c r="OWK7" s="20"/>
      <c r="OWL7" s="20"/>
      <c r="OWM7" s="20"/>
      <c r="OWN7" s="20"/>
      <c r="OWO7" s="20"/>
      <c r="OWP7" s="20"/>
      <c r="OWQ7" s="20"/>
      <c r="OWR7" s="20"/>
      <c r="OWS7" s="20"/>
      <c r="OWT7" s="20"/>
      <c r="OWU7" s="20"/>
      <c r="OWV7" s="20"/>
      <c r="OWW7" s="20"/>
      <c r="OWX7" s="20"/>
      <c r="OWY7" s="20"/>
      <c r="OWZ7" s="20"/>
      <c r="OXA7" s="20"/>
      <c r="OXB7" s="20"/>
      <c r="OXC7" s="20"/>
      <c r="OXD7" s="20"/>
      <c r="OXE7" s="20"/>
      <c r="OXF7" s="20"/>
      <c r="OXG7" s="20"/>
      <c r="OXH7" s="20"/>
      <c r="OXI7" s="20"/>
      <c r="OXJ7" s="20"/>
      <c r="OXK7" s="20"/>
      <c r="OXL7" s="20"/>
      <c r="OXM7" s="20"/>
      <c r="OXN7" s="20"/>
      <c r="OXO7" s="20"/>
      <c r="OXP7" s="20"/>
      <c r="OXQ7" s="20"/>
      <c r="OXR7" s="20"/>
      <c r="OXS7" s="20"/>
      <c r="OXT7" s="20"/>
      <c r="OXU7" s="20"/>
      <c r="OXV7" s="20"/>
      <c r="OXW7" s="20"/>
      <c r="OXX7" s="20"/>
      <c r="OXY7" s="20"/>
      <c r="OXZ7" s="20"/>
      <c r="OYA7" s="20"/>
      <c r="OYB7" s="20"/>
      <c r="OYC7" s="20"/>
      <c r="OYD7" s="20"/>
      <c r="OYE7" s="20"/>
      <c r="OYF7" s="20"/>
      <c r="OYG7" s="20"/>
      <c r="OYH7" s="20"/>
      <c r="OYI7" s="20"/>
      <c r="OYJ7" s="20"/>
      <c r="OYK7" s="20"/>
      <c r="OYL7" s="20"/>
      <c r="OYM7" s="20"/>
      <c r="OYN7" s="20"/>
      <c r="OYO7" s="20"/>
      <c r="OYP7" s="20"/>
      <c r="OYQ7" s="20"/>
      <c r="OYR7" s="20"/>
      <c r="OYS7" s="20"/>
      <c r="OYT7" s="20"/>
      <c r="OYU7" s="20"/>
      <c r="OYV7" s="20"/>
      <c r="OYW7" s="20"/>
      <c r="OYX7" s="20"/>
      <c r="OYY7" s="20"/>
      <c r="OYZ7" s="20"/>
      <c r="OZA7" s="20"/>
      <c r="OZB7" s="20"/>
      <c r="OZC7" s="20"/>
      <c r="OZD7" s="20"/>
      <c r="OZE7" s="20"/>
      <c r="OZF7" s="20"/>
      <c r="OZG7" s="20"/>
      <c r="OZH7" s="20"/>
      <c r="OZI7" s="20"/>
      <c r="OZJ7" s="20"/>
      <c r="OZK7" s="20"/>
      <c r="OZL7" s="20"/>
      <c r="OZM7" s="20"/>
      <c r="OZN7" s="20"/>
      <c r="OZO7" s="20"/>
      <c r="OZP7" s="20"/>
      <c r="OZQ7" s="20"/>
      <c r="OZR7" s="20"/>
      <c r="OZS7" s="20"/>
      <c r="OZT7" s="20"/>
      <c r="OZU7" s="20"/>
      <c r="OZV7" s="20"/>
      <c r="OZW7" s="20"/>
      <c r="OZX7" s="20"/>
      <c r="OZY7" s="20"/>
      <c r="OZZ7" s="20"/>
      <c r="PAA7" s="20"/>
      <c r="PAB7" s="20"/>
      <c r="PAC7" s="20"/>
      <c r="PAD7" s="20"/>
      <c r="PAE7" s="20"/>
      <c r="PAF7" s="20"/>
      <c r="PAG7" s="20"/>
      <c r="PAH7" s="20"/>
      <c r="PAI7" s="20"/>
      <c r="PAJ7" s="20"/>
      <c r="PAK7" s="20"/>
      <c r="PAL7" s="20"/>
      <c r="PAM7" s="20"/>
      <c r="PAN7" s="20"/>
      <c r="PAO7" s="20"/>
      <c r="PAP7" s="20"/>
      <c r="PAQ7" s="20"/>
      <c r="PAR7" s="20"/>
      <c r="PAS7" s="20"/>
      <c r="PAT7" s="20"/>
      <c r="PAU7" s="20"/>
      <c r="PAV7" s="20"/>
      <c r="PAW7" s="20"/>
      <c r="PAX7" s="20"/>
      <c r="PAY7" s="20"/>
      <c r="PAZ7" s="20"/>
      <c r="PBA7" s="20"/>
      <c r="PBB7" s="20"/>
      <c r="PBC7" s="20"/>
      <c r="PBD7" s="20"/>
      <c r="PBE7" s="20"/>
      <c r="PBF7" s="20"/>
      <c r="PBG7" s="20"/>
      <c r="PBH7" s="20"/>
      <c r="PBI7" s="20"/>
      <c r="PBJ7" s="20"/>
      <c r="PBK7" s="20"/>
      <c r="PBL7" s="20"/>
      <c r="PBM7" s="20"/>
      <c r="PBN7" s="20"/>
      <c r="PBO7" s="20"/>
      <c r="PBP7" s="20"/>
      <c r="PBQ7" s="20"/>
      <c r="PBR7" s="20"/>
      <c r="PBS7" s="20"/>
      <c r="PBT7" s="20"/>
      <c r="PBU7" s="20"/>
      <c r="PBV7" s="20"/>
      <c r="PBW7" s="20"/>
      <c r="PBX7" s="20"/>
      <c r="PBY7" s="20"/>
      <c r="PBZ7" s="20"/>
      <c r="PCA7" s="20"/>
      <c r="PCB7" s="20"/>
      <c r="PCC7" s="20"/>
      <c r="PCD7" s="20"/>
      <c r="PCE7" s="20"/>
      <c r="PCF7" s="20"/>
      <c r="PCG7" s="20"/>
      <c r="PCH7" s="20"/>
      <c r="PCI7" s="20"/>
      <c r="PCJ7" s="20"/>
      <c r="PCK7" s="20"/>
      <c r="PCL7" s="20"/>
      <c r="PCM7" s="20"/>
      <c r="PCN7" s="20"/>
      <c r="PCO7" s="20"/>
      <c r="PCP7" s="20"/>
      <c r="PCQ7" s="20"/>
      <c r="PCR7" s="20"/>
      <c r="PCS7" s="20"/>
      <c r="PCT7" s="20"/>
      <c r="PCU7" s="20"/>
      <c r="PCV7" s="20"/>
      <c r="PCW7" s="20"/>
      <c r="PCX7" s="20"/>
      <c r="PCY7" s="20"/>
      <c r="PCZ7" s="20"/>
      <c r="PDA7" s="20"/>
      <c r="PDB7" s="20"/>
      <c r="PDC7" s="20"/>
      <c r="PDD7" s="20"/>
      <c r="PDE7" s="20"/>
      <c r="PDF7" s="20"/>
      <c r="PDG7" s="20"/>
      <c r="PDH7" s="20"/>
      <c r="PDI7" s="20"/>
      <c r="PDJ7" s="20"/>
      <c r="PDK7" s="20"/>
      <c r="PDL7" s="20"/>
      <c r="PDM7" s="20"/>
      <c r="PDN7" s="20"/>
      <c r="PDO7" s="20"/>
      <c r="PDP7" s="20"/>
      <c r="PDQ7" s="20"/>
      <c r="PDR7" s="20"/>
      <c r="PDS7" s="20"/>
      <c r="PDT7" s="20"/>
      <c r="PDU7" s="20"/>
      <c r="PDV7" s="20"/>
      <c r="PDW7" s="20"/>
      <c r="PDX7" s="20"/>
      <c r="PDY7" s="20"/>
      <c r="PDZ7" s="20"/>
      <c r="PEA7" s="20"/>
      <c r="PEB7" s="20"/>
      <c r="PEC7" s="20"/>
      <c r="PED7" s="20"/>
      <c r="PEE7" s="20"/>
      <c r="PEF7" s="20"/>
      <c r="PEG7" s="20"/>
      <c r="PEH7" s="20"/>
      <c r="PEI7" s="20"/>
      <c r="PEJ7" s="20"/>
      <c r="PEK7" s="20"/>
      <c r="PEL7" s="20"/>
      <c r="PEM7" s="20"/>
      <c r="PEN7" s="20"/>
      <c r="PEO7" s="20"/>
      <c r="PEP7" s="20"/>
      <c r="PEQ7" s="20"/>
      <c r="PER7" s="20"/>
      <c r="PES7" s="20"/>
      <c r="PET7" s="20"/>
      <c r="PEU7" s="20"/>
      <c r="PEV7" s="20"/>
      <c r="PEW7" s="20"/>
      <c r="PEX7" s="20"/>
      <c r="PEY7" s="20"/>
      <c r="PEZ7" s="20"/>
      <c r="PFA7" s="20"/>
      <c r="PFB7" s="20"/>
      <c r="PFC7" s="20"/>
      <c r="PFD7" s="20"/>
      <c r="PFE7" s="20"/>
      <c r="PFF7" s="20"/>
      <c r="PFG7" s="20"/>
      <c r="PFH7" s="20"/>
      <c r="PFI7" s="20"/>
      <c r="PFJ7" s="20"/>
      <c r="PFK7" s="20"/>
      <c r="PFL7" s="20"/>
      <c r="PFM7" s="20"/>
      <c r="PFN7" s="20"/>
      <c r="PFO7" s="20"/>
      <c r="PFP7" s="20"/>
      <c r="PFQ7" s="20"/>
      <c r="PFR7" s="20"/>
      <c r="PFS7" s="20"/>
      <c r="PFT7" s="20"/>
      <c r="PFU7" s="20"/>
      <c r="PFV7" s="20"/>
      <c r="PFW7" s="20"/>
      <c r="PFX7" s="20"/>
      <c r="PFY7" s="20"/>
      <c r="PFZ7" s="20"/>
      <c r="PGA7" s="20"/>
      <c r="PGB7" s="20"/>
      <c r="PGC7" s="20"/>
      <c r="PGD7" s="20"/>
      <c r="PGE7" s="20"/>
      <c r="PGF7" s="20"/>
      <c r="PGG7" s="20"/>
      <c r="PGH7" s="20"/>
      <c r="PGI7" s="20"/>
      <c r="PGJ7" s="20"/>
      <c r="PGK7" s="20"/>
      <c r="PGL7" s="20"/>
      <c r="PGM7" s="20"/>
      <c r="PGN7" s="20"/>
      <c r="PGO7" s="20"/>
      <c r="PGP7" s="20"/>
      <c r="PGQ7" s="20"/>
      <c r="PGR7" s="20"/>
      <c r="PGS7" s="20"/>
      <c r="PGT7" s="20"/>
      <c r="PGU7" s="20"/>
      <c r="PGV7" s="20"/>
      <c r="PGW7" s="20"/>
      <c r="PGX7" s="20"/>
      <c r="PGY7" s="20"/>
      <c r="PGZ7" s="20"/>
      <c r="PHA7" s="20"/>
      <c r="PHB7" s="20"/>
      <c r="PHC7" s="20"/>
      <c r="PHD7" s="20"/>
      <c r="PHE7" s="20"/>
      <c r="PHF7" s="20"/>
      <c r="PHG7" s="20"/>
      <c r="PHH7" s="20"/>
      <c r="PHI7" s="20"/>
      <c r="PHJ7" s="20"/>
      <c r="PHK7" s="20"/>
      <c r="PHL7" s="20"/>
      <c r="PHM7" s="20"/>
      <c r="PHN7" s="20"/>
      <c r="PHO7" s="20"/>
      <c r="PHP7" s="20"/>
      <c r="PHQ7" s="20"/>
      <c r="PHR7" s="20"/>
      <c r="PHS7" s="20"/>
      <c r="PHT7" s="20"/>
      <c r="PHU7" s="20"/>
      <c r="PHV7" s="20"/>
      <c r="PHW7" s="20"/>
      <c r="PHX7" s="20"/>
      <c r="PHY7" s="20"/>
      <c r="PHZ7" s="20"/>
      <c r="PIA7" s="20"/>
      <c r="PIB7" s="20"/>
      <c r="PIC7" s="20"/>
      <c r="PID7" s="20"/>
      <c r="PIE7" s="20"/>
      <c r="PIF7" s="20"/>
      <c r="PIG7" s="20"/>
      <c r="PIH7" s="20"/>
      <c r="PII7" s="20"/>
      <c r="PIJ7" s="20"/>
      <c r="PIK7" s="20"/>
      <c r="PIL7" s="20"/>
      <c r="PIM7" s="20"/>
      <c r="PIN7" s="20"/>
      <c r="PIO7" s="20"/>
      <c r="PIP7" s="20"/>
      <c r="PIQ7" s="20"/>
      <c r="PIR7" s="20"/>
      <c r="PIS7" s="20"/>
      <c r="PIT7" s="20"/>
      <c r="PIU7" s="20"/>
      <c r="PIV7" s="20"/>
      <c r="PIW7" s="20"/>
      <c r="PIX7" s="20"/>
      <c r="PIY7" s="20"/>
      <c r="PIZ7" s="20"/>
      <c r="PJA7" s="20"/>
      <c r="PJB7" s="20"/>
      <c r="PJC7" s="20"/>
      <c r="PJD7" s="20"/>
      <c r="PJE7" s="20"/>
      <c r="PJF7" s="20"/>
      <c r="PJG7" s="20"/>
      <c r="PJH7" s="20"/>
      <c r="PJI7" s="20"/>
      <c r="PJJ7" s="20"/>
      <c r="PJK7" s="20"/>
      <c r="PJL7" s="20"/>
      <c r="PJM7" s="20"/>
      <c r="PJN7" s="20"/>
      <c r="PJO7" s="20"/>
      <c r="PJP7" s="20"/>
      <c r="PJQ7" s="20"/>
      <c r="PJR7" s="20"/>
      <c r="PJS7" s="20"/>
      <c r="PJT7" s="20"/>
      <c r="PJU7" s="20"/>
      <c r="PJV7" s="20"/>
      <c r="PJW7" s="20"/>
      <c r="PJX7" s="20"/>
      <c r="PJY7" s="20"/>
      <c r="PJZ7" s="20"/>
      <c r="PKA7" s="20"/>
      <c r="PKB7" s="20"/>
      <c r="PKC7" s="20"/>
      <c r="PKD7" s="20"/>
      <c r="PKE7" s="20"/>
      <c r="PKF7" s="20"/>
      <c r="PKG7" s="20"/>
      <c r="PKH7" s="20"/>
      <c r="PKI7" s="20"/>
      <c r="PKJ7" s="20"/>
      <c r="PKK7" s="20"/>
      <c r="PKL7" s="20"/>
      <c r="PKM7" s="20"/>
      <c r="PKN7" s="20"/>
      <c r="PKO7" s="20"/>
      <c r="PKP7" s="20"/>
      <c r="PKQ7" s="20"/>
      <c r="PKR7" s="20"/>
      <c r="PKS7" s="20"/>
      <c r="PKT7" s="20"/>
      <c r="PKU7" s="20"/>
      <c r="PKV7" s="20"/>
      <c r="PKW7" s="20"/>
      <c r="PKX7" s="20"/>
      <c r="PKY7" s="20"/>
      <c r="PKZ7" s="20"/>
      <c r="PLA7" s="20"/>
      <c r="PLB7" s="20"/>
      <c r="PLC7" s="20"/>
      <c r="PLD7" s="20"/>
      <c r="PLE7" s="20"/>
      <c r="PLF7" s="20"/>
      <c r="PLG7" s="20"/>
      <c r="PLH7" s="20"/>
      <c r="PLI7" s="20"/>
      <c r="PLJ7" s="20"/>
      <c r="PLK7" s="20"/>
      <c r="PLL7" s="20"/>
      <c r="PLM7" s="20"/>
      <c r="PLN7" s="20"/>
      <c r="PLO7" s="20"/>
      <c r="PLP7" s="20"/>
      <c r="PLQ7" s="20"/>
      <c r="PLR7" s="20"/>
      <c r="PLS7" s="20"/>
      <c r="PLT7" s="20"/>
      <c r="PLU7" s="20"/>
      <c r="PLV7" s="20"/>
      <c r="PLW7" s="20"/>
      <c r="PLX7" s="20"/>
      <c r="PLY7" s="20"/>
      <c r="PLZ7" s="20"/>
      <c r="PMA7" s="20"/>
      <c r="PMB7" s="20"/>
      <c r="PMC7" s="20"/>
      <c r="PMD7" s="20"/>
      <c r="PME7" s="20"/>
      <c r="PMF7" s="20"/>
      <c r="PMG7" s="20"/>
      <c r="PMH7" s="20"/>
      <c r="PMI7" s="20"/>
      <c r="PMJ7" s="20"/>
      <c r="PMK7" s="20"/>
      <c r="PML7" s="20"/>
      <c r="PMM7" s="20"/>
      <c r="PMN7" s="20"/>
      <c r="PMO7" s="20"/>
      <c r="PMP7" s="20"/>
      <c r="PMQ7" s="20"/>
      <c r="PMR7" s="20"/>
      <c r="PMS7" s="20"/>
      <c r="PMT7" s="20"/>
      <c r="PMU7" s="20"/>
      <c r="PMV7" s="20"/>
      <c r="PMW7" s="20"/>
      <c r="PMX7" s="20"/>
      <c r="PMY7" s="20"/>
      <c r="PMZ7" s="20"/>
      <c r="PNA7" s="20"/>
      <c r="PNB7" s="20"/>
      <c r="PNC7" s="20"/>
      <c r="PND7" s="20"/>
      <c r="PNE7" s="20"/>
      <c r="PNF7" s="20"/>
      <c r="PNG7" s="20"/>
      <c r="PNH7" s="20"/>
      <c r="PNI7" s="20"/>
      <c r="PNJ7" s="20"/>
      <c r="PNK7" s="20"/>
      <c r="PNL7" s="20"/>
      <c r="PNM7" s="20"/>
      <c r="PNN7" s="20"/>
      <c r="PNO7" s="20"/>
      <c r="PNP7" s="20"/>
      <c r="PNQ7" s="20"/>
      <c r="PNR7" s="20"/>
      <c r="PNS7" s="20"/>
      <c r="PNT7" s="20"/>
      <c r="PNU7" s="20"/>
      <c r="PNV7" s="20"/>
      <c r="PNW7" s="20"/>
      <c r="PNX7" s="20"/>
      <c r="PNY7" s="20"/>
      <c r="PNZ7" s="20"/>
      <c r="POA7" s="20"/>
      <c r="POB7" s="20"/>
      <c r="POC7" s="20"/>
      <c r="POD7" s="20"/>
      <c r="POE7" s="20"/>
      <c r="POF7" s="20"/>
      <c r="POG7" s="20"/>
      <c r="POH7" s="20"/>
      <c r="POI7" s="20"/>
      <c r="POJ7" s="20"/>
      <c r="POK7" s="20"/>
      <c r="POL7" s="20"/>
      <c r="POM7" s="20"/>
      <c r="PON7" s="20"/>
      <c r="POO7" s="20"/>
      <c r="POP7" s="20"/>
      <c r="POQ7" s="20"/>
      <c r="POR7" s="20"/>
      <c r="POS7" s="20"/>
      <c r="POT7" s="20"/>
      <c r="POU7" s="20"/>
      <c r="POV7" s="20"/>
      <c r="POW7" s="20"/>
      <c r="POX7" s="20"/>
      <c r="POY7" s="20"/>
      <c r="POZ7" s="20"/>
      <c r="PPA7" s="20"/>
      <c r="PPB7" s="20"/>
      <c r="PPC7" s="20"/>
      <c r="PPD7" s="20"/>
      <c r="PPE7" s="20"/>
      <c r="PPF7" s="20"/>
      <c r="PPG7" s="20"/>
      <c r="PPH7" s="20"/>
      <c r="PPI7" s="20"/>
      <c r="PPJ7" s="20"/>
      <c r="PPK7" s="20"/>
      <c r="PPL7" s="20"/>
      <c r="PPM7" s="20"/>
      <c r="PPN7" s="20"/>
      <c r="PPO7" s="20"/>
      <c r="PPP7" s="20"/>
      <c r="PPQ7" s="20"/>
      <c r="PPR7" s="20"/>
      <c r="PPS7" s="20"/>
      <c r="PPT7" s="20"/>
      <c r="PPU7" s="20"/>
      <c r="PPV7" s="20"/>
      <c r="PPW7" s="20"/>
      <c r="PPX7" s="20"/>
      <c r="PPY7" s="20"/>
      <c r="PPZ7" s="20"/>
      <c r="PQA7" s="20"/>
      <c r="PQB7" s="20"/>
      <c r="PQC7" s="20"/>
      <c r="PQD7" s="20"/>
      <c r="PQE7" s="20"/>
      <c r="PQF7" s="20"/>
      <c r="PQG7" s="20"/>
      <c r="PQH7" s="20"/>
      <c r="PQI7" s="20"/>
      <c r="PQJ7" s="20"/>
      <c r="PQK7" s="20"/>
      <c r="PQL7" s="20"/>
      <c r="PQM7" s="20"/>
      <c r="PQN7" s="20"/>
      <c r="PQO7" s="20"/>
      <c r="PQP7" s="20"/>
      <c r="PQQ7" s="20"/>
      <c r="PQR7" s="20"/>
      <c r="PQS7" s="20"/>
      <c r="PQT7" s="20"/>
      <c r="PQU7" s="20"/>
      <c r="PQV7" s="20"/>
      <c r="PQW7" s="20"/>
      <c r="PQX7" s="20"/>
      <c r="PQY7" s="20"/>
      <c r="PQZ7" s="20"/>
      <c r="PRA7" s="20"/>
      <c r="PRB7" s="20"/>
      <c r="PRC7" s="20"/>
      <c r="PRD7" s="20"/>
      <c r="PRE7" s="20"/>
      <c r="PRF7" s="20"/>
      <c r="PRG7" s="20"/>
      <c r="PRH7" s="20"/>
      <c r="PRI7" s="20"/>
      <c r="PRJ7" s="20"/>
      <c r="PRK7" s="20"/>
      <c r="PRL7" s="20"/>
      <c r="PRM7" s="20"/>
      <c r="PRN7" s="20"/>
      <c r="PRO7" s="20"/>
      <c r="PRP7" s="20"/>
      <c r="PRQ7" s="20"/>
      <c r="PRR7" s="20"/>
      <c r="PRS7" s="20"/>
      <c r="PRT7" s="20"/>
      <c r="PRU7" s="20"/>
      <c r="PRV7" s="20"/>
      <c r="PRW7" s="20"/>
      <c r="PRX7" s="20"/>
      <c r="PRY7" s="20"/>
      <c r="PRZ7" s="20"/>
      <c r="PSA7" s="20"/>
      <c r="PSB7" s="20"/>
      <c r="PSC7" s="20"/>
      <c r="PSD7" s="20"/>
      <c r="PSE7" s="20"/>
      <c r="PSF7" s="20"/>
      <c r="PSG7" s="20"/>
      <c r="PSH7" s="20"/>
      <c r="PSI7" s="20"/>
      <c r="PSJ7" s="20"/>
      <c r="PSK7" s="20"/>
      <c r="PSL7" s="20"/>
      <c r="PSM7" s="20"/>
      <c r="PSN7" s="20"/>
      <c r="PSO7" s="20"/>
      <c r="PSP7" s="20"/>
      <c r="PSQ7" s="20"/>
      <c r="PSR7" s="20"/>
      <c r="PSS7" s="20"/>
      <c r="PST7" s="20"/>
      <c r="PSU7" s="20"/>
      <c r="PSV7" s="20"/>
      <c r="PSW7" s="20"/>
      <c r="PSX7" s="20"/>
      <c r="PSY7" s="20"/>
      <c r="PSZ7" s="20"/>
      <c r="PTA7" s="20"/>
      <c r="PTB7" s="20"/>
      <c r="PTC7" s="20"/>
      <c r="PTD7" s="20"/>
      <c r="PTE7" s="20"/>
      <c r="PTF7" s="20"/>
      <c r="PTG7" s="20"/>
      <c r="PTH7" s="20"/>
      <c r="PTI7" s="20"/>
      <c r="PTJ7" s="20"/>
      <c r="PTK7" s="20"/>
      <c r="PTL7" s="20"/>
      <c r="PTM7" s="20"/>
      <c r="PTN7" s="20"/>
      <c r="PTO7" s="20"/>
      <c r="PTP7" s="20"/>
      <c r="PTQ7" s="20"/>
      <c r="PTR7" s="20"/>
      <c r="PTS7" s="20"/>
      <c r="PTT7" s="20"/>
      <c r="PTU7" s="20"/>
      <c r="PTV7" s="20"/>
      <c r="PTW7" s="20"/>
      <c r="PTX7" s="20"/>
      <c r="PTY7" s="20"/>
      <c r="PTZ7" s="20"/>
      <c r="PUA7" s="20"/>
      <c r="PUB7" s="20"/>
      <c r="PUC7" s="20"/>
      <c r="PUD7" s="20"/>
      <c r="PUE7" s="20"/>
      <c r="PUF7" s="20"/>
      <c r="PUG7" s="20"/>
      <c r="PUH7" s="20"/>
      <c r="PUI7" s="20"/>
      <c r="PUJ7" s="20"/>
      <c r="PUK7" s="20"/>
      <c r="PUL7" s="20"/>
      <c r="PUM7" s="20"/>
      <c r="PUN7" s="20"/>
      <c r="PUO7" s="20"/>
      <c r="PUP7" s="20"/>
      <c r="PUQ7" s="20"/>
      <c r="PUR7" s="20"/>
      <c r="PUS7" s="20"/>
      <c r="PUT7" s="20"/>
      <c r="PUU7" s="20"/>
      <c r="PUV7" s="20"/>
      <c r="PUW7" s="20"/>
      <c r="PUX7" s="20"/>
      <c r="PUY7" s="20"/>
      <c r="PUZ7" s="20"/>
      <c r="PVA7" s="20"/>
      <c r="PVB7" s="20"/>
      <c r="PVC7" s="20"/>
      <c r="PVD7" s="20"/>
      <c r="PVE7" s="20"/>
      <c r="PVF7" s="20"/>
      <c r="PVG7" s="20"/>
      <c r="PVH7" s="20"/>
      <c r="PVI7" s="20"/>
      <c r="PVJ7" s="20"/>
      <c r="PVK7" s="20"/>
      <c r="PVL7" s="20"/>
      <c r="PVM7" s="20"/>
      <c r="PVN7" s="20"/>
      <c r="PVO7" s="20"/>
      <c r="PVP7" s="20"/>
      <c r="PVQ7" s="20"/>
      <c r="PVR7" s="20"/>
      <c r="PVS7" s="20"/>
      <c r="PVT7" s="20"/>
      <c r="PVU7" s="20"/>
      <c r="PVV7" s="20"/>
      <c r="PVW7" s="20"/>
      <c r="PVX7" s="20"/>
      <c r="PVY7" s="20"/>
      <c r="PVZ7" s="20"/>
      <c r="PWA7" s="20"/>
      <c r="PWB7" s="20"/>
      <c r="PWC7" s="20"/>
      <c r="PWD7" s="20"/>
      <c r="PWE7" s="20"/>
      <c r="PWF7" s="20"/>
      <c r="PWG7" s="20"/>
      <c r="PWH7" s="20"/>
      <c r="PWI7" s="20"/>
      <c r="PWJ7" s="20"/>
      <c r="PWK7" s="20"/>
      <c r="PWL7" s="20"/>
      <c r="PWM7" s="20"/>
      <c r="PWN7" s="20"/>
      <c r="PWO7" s="20"/>
      <c r="PWP7" s="20"/>
      <c r="PWQ7" s="20"/>
      <c r="PWR7" s="20"/>
      <c r="PWS7" s="20"/>
      <c r="PWT7" s="20"/>
      <c r="PWU7" s="20"/>
      <c r="PWV7" s="20"/>
      <c r="PWW7" s="20"/>
      <c r="PWX7" s="20"/>
      <c r="PWY7" s="20"/>
      <c r="PWZ7" s="20"/>
      <c r="PXA7" s="20"/>
      <c r="PXB7" s="20"/>
      <c r="PXC7" s="20"/>
      <c r="PXD7" s="20"/>
      <c r="PXE7" s="20"/>
      <c r="PXF7" s="20"/>
      <c r="PXG7" s="20"/>
      <c r="PXH7" s="20"/>
      <c r="PXI7" s="20"/>
      <c r="PXJ7" s="20"/>
      <c r="PXK7" s="20"/>
      <c r="PXL7" s="20"/>
      <c r="PXM7" s="20"/>
      <c r="PXN7" s="20"/>
      <c r="PXO7" s="20"/>
      <c r="PXP7" s="20"/>
      <c r="PXQ7" s="20"/>
      <c r="PXR7" s="20"/>
      <c r="PXS7" s="20"/>
      <c r="PXT7" s="20"/>
      <c r="PXU7" s="20"/>
      <c r="PXV7" s="20"/>
      <c r="PXW7" s="20"/>
      <c r="PXX7" s="20"/>
      <c r="PXY7" s="20"/>
      <c r="PXZ7" s="20"/>
      <c r="PYA7" s="20"/>
      <c r="PYB7" s="20"/>
      <c r="PYC7" s="20"/>
      <c r="PYD7" s="20"/>
      <c r="PYE7" s="20"/>
      <c r="PYF7" s="20"/>
      <c r="PYG7" s="20"/>
      <c r="PYH7" s="20"/>
      <c r="PYI7" s="20"/>
      <c r="PYJ7" s="20"/>
      <c r="PYK7" s="20"/>
      <c r="PYL7" s="20"/>
      <c r="PYM7" s="20"/>
      <c r="PYN7" s="20"/>
      <c r="PYO7" s="20"/>
      <c r="PYP7" s="20"/>
      <c r="PYQ7" s="20"/>
      <c r="PYR7" s="20"/>
      <c r="PYS7" s="20"/>
      <c r="PYT7" s="20"/>
      <c r="PYU7" s="20"/>
      <c r="PYV7" s="20"/>
      <c r="PYW7" s="20"/>
      <c r="PYX7" s="20"/>
      <c r="PYY7" s="20"/>
      <c r="PYZ7" s="20"/>
      <c r="PZA7" s="20"/>
      <c r="PZB7" s="20"/>
      <c r="PZC7" s="20"/>
      <c r="PZD7" s="20"/>
      <c r="PZE7" s="20"/>
      <c r="PZF7" s="20"/>
      <c r="PZG7" s="20"/>
      <c r="PZH7" s="20"/>
      <c r="PZI7" s="20"/>
      <c r="PZJ7" s="20"/>
      <c r="PZK7" s="20"/>
      <c r="PZL7" s="20"/>
      <c r="PZM7" s="20"/>
      <c r="PZN7" s="20"/>
      <c r="PZO7" s="20"/>
      <c r="PZP7" s="20"/>
      <c r="PZQ7" s="20"/>
      <c r="PZR7" s="20"/>
      <c r="PZS7" s="20"/>
      <c r="PZT7" s="20"/>
      <c r="PZU7" s="20"/>
      <c r="PZV7" s="20"/>
      <c r="PZW7" s="20"/>
      <c r="PZX7" s="20"/>
      <c r="PZY7" s="20"/>
      <c r="PZZ7" s="20"/>
      <c r="QAA7" s="20"/>
      <c r="QAB7" s="20"/>
      <c r="QAC7" s="20"/>
      <c r="QAD7" s="20"/>
      <c r="QAE7" s="20"/>
      <c r="QAF7" s="20"/>
      <c r="QAG7" s="20"/>
      <c r="QAH7" s="20"/>
      <c r="QAI7" s="20"/>
      <c r="QAJ7" s="20"/>
      <c r="QAK7" s="20"/>
      <c r="QAL7" s="20"/>
      <c r="QAM7" s="20"/>
      <c r="QAN7" s="20"/>
      <c r="QAO7" s="20"/>
      <c r="QAP7" s="20"/>
      <c r="QAQ7" s="20"/>
      <c r="QAR7" s="20"/>
      <c r="QAS7" s="20"/>
      <c r="QAT7" s="20"/>
      <c r="QAU7" s="20"/>
      <c r="QAV7" s="20"/>
      <c r="QAW7" s="20"/>
      <c r="QAX7" s="20"/>
      <c r="QAY7" s="20"/>
      <c r="QAZ7" s="20"/>
      <c r="QBA7" s="20"/>
      <c r="QBB7" s="20"/>
      <c r="QBC7" s="20"/>
      <c r="QBD7" s="20"/>
      <c r="QBE7" s="20"/>
      <c r="QBF7" s="20"/>
      <c r="QBG7" s="20"/>
      <c r="QBH7" s="20"/>
      <c r="QBI7" s="20"/>
      <c r="QBJ7" s="20"/>
      <c r="QBK7" s="20"/>
      <c r="QBL7" s="20"/>
      <c r="QBM7" s="20"/>
      <c r="QBN7" s="20"/>
      <c r="QBO7" s="20"/>
      <c r="QBP7" s="20"/>
      <c r="QBQ7" s="20"/>
      <c r="QBR7" s="20"/>
      <c r="QBS7" s="20"/>
      <c r="QBT7" s="20"/>
      <c r="QBU7" s="20"/>
      <c r="QBV7" s="20"/>
      <c r="QBW7" s="20"/>
      <c r="QBX7" s="20"/>
      <c r="QBY7" s="20"/>
      <c r="QBZ7" s="20"/>
      <c r="QCA7" s="20"/>
      <c r="QCB7" s="20"/>
      <c r="QCC7" s="20"/>
      <c r="QCD7" s="20"/>
      <c r="QCE7" s="20"/>
      <c r="QCF7" s="20"/>
      <c r="QCG7" s="20"/>
      <c r="QCH7" s="20"/>
      <c r="QCI7" s="20"/>
      <c r="QCJ7" s="20"/>
      <c r="QCK7" s="20"/>
      <c r="QCL7" s="20"/>
      <c r="QCM7" s="20"/>
      <c r="QCN7" s="20"/>
      <c r="QCO7" s="20"/>
      <c r="QCP7" s="20"/>
      <c r="QCQ7" s="20"/>
      <c r="QCR7" s="20"/>
      <c r="QCS7" s="20"/>
      <c r="QCT7" s="20"/>
      <c r="QCU7" s="20"/>
      <c r="QCV7" s="20"/>
      <c r="QCW7" s="20"/>
      <c r="QCX7" s="20"/>
      <c r="QCY7" s="20"/>
      <c r="QCZ7" s="20"/>
      <c r="QDA7" s="20"/>
      <c r="QDB7" s="20"/>
      <c r="QDC7" s="20"/>
      <c r="QDD7" s="20"/>
      <c r="QDE7" s="20"/>
      <c r="QDF7" s="20"/>
      <c r="QDG7" s="20"/>
      <c r="QDH7" s="20"/>
      <c r="QDI7" s="20"/>
      <c r="QDJ7" s="20"/>
      <c r="QDK7" s="20"/>
      <c r="QDL7" s="20"/>
      <c r="QDM7" s="20"/>
      <c r="QDN7" s="20"/>
      <c r="QDO7" s="20"/>
      <c r="QDP7" s="20"/>
      <c r="QDQ7" s="20"/>
      <c r="QDR7" s="20"/>
      <c r="QDS7" s="20"/>
      <c r="QDT7" s="20"/>
      <c r="QDU7" s="20"/>
      <c r="QDV7" s="20"/>
      <c r="QDW7" s="20"/>
      <c r="QDX7" s="20"/>
      <c r="QDY7" s="20"/>
      <c r="QDZ7" s="20"/>
      <c r="QEA7" s="20"/>
      <c r="QEB7" s="20"/>
      <c r="QEC7" s="20"/>
      <c r="QED7" s="20"/>
      <c r="QEE7" s="20"/>
      <c r="QEF7" s="20"/>
      <c r="QEG7" s="20"/>
      <c r="QEH7" s="20"/>
      <c r="QEI7" s="20"/>
      <c r="QEJ7" s="20"/>
      <c r="QEK7" s="20"/>
      <c r="QEL7" s="20"/>
      <c r="QEM7" s="20"/>
      <c r="QEN7" s="20"/>
      <c r="QEO7" s="20"/>
      <c r="QEP7" s="20"/>
      <c r="QEQ7" s="20"/>
      <c r="QER7" s="20"/>
      <c r="QES7" s="20"/>
      <c r="QET7" s="20"/>
      <c r="QEU7" s="20"/>
      <c r="QEV7" s="20"/>
      <c r="QEW7" s="20"/>
      <c r="QEX7" s="20"/>
      <c r="QEY7" s="20"/>
      <c r="QEZ7" s="20"/>
      <c r="QFA7" s="20"/>
      <c r="QFB7" s="20"/>
      <c r="QFC7" s="20"/>
      <c r="QFD7" s="20"/>
      <c r="QFE7" s="20"/>
      <c r="QFF7" s="20"/>
      <c r="QFG7" s="20"/>
      <c r="QFH7" s="20"/>
      <c r="QFI7" s="20"/>
      <c r="QFJ7" s="20"/>
      <c r="QFK7" s="20"/>
      <c r="QFL7" s="20"/>
      <c r="QFM7" s="20"/>
      <c r="QFN7" s="20"/>
      <c r="QFO7" s="20"/>
      <c r="QFP7" s="20"/>
      <c r="QFQ7" s="20"/>
      <c r="QFR7" s="20"/>
      <c r="QFS7" s="20"/>
      <c r="QFT7" s="20"/>
      <c r="QFU7" s="20"/>
      <c r="QFV7" s="20"/>
      <c r="QFW7" s="20"/>
      <c r="QFX7" s="20"/>
      <c r="QFY7" s="20"/>
      <c r="QFZ7" s="20"/>
      <c r="QGA7" s="20"/>
      <c r="QGB7" s="20"/>
      <c r="QGC7" s="20"/>
      <c r="QGD7" s="20"/>
      <c r="QGE7" s="20"/>
      <c r="QGF7" s="20"/>
      <c r="QGG7" s="20"/>
      <c r="QGH7" s="20"/>
      <c r="QGI7" s="20"/>
      <c r="QGJ7" s="20"/>
      <c r="QGK7" s="20"/>
      <c r="QGL7" s="20"/>
      <c r="QGM7" s="20"/>
      <c r="QGN7" s="20"/>
      <c r="QGO7" s="20"/>
      <c r="QGP7" s="20"/>
      <c r="QGQ7" s="20"/>
      <c r="QGR7" s="20"/>
      <c r="QGS7" s="20"/>
      <c r="QGT7" s="20"/>
      <c r="QGU7" s="20"/>
      <c r="QGV7" s="20"/>
      <c r="QGW7" s="20"/>
      <c r="QGX7" s="20"/>
      <c r="QGY7" s="20"/>
      <c r="QGZ7" s="20"/>
      <c r="QHA7" s="20"/>
      <c r="QHB7" s="20"/>
      <c r="QHC7" s="20"/>
      <c r="QHD7" s="20"/>
      <c r="QHE7" s="20"/>
      <c r="QHF7" s="20"/>
      <c r="QHG7" s="20"/>
      <c r="QHH7" s="20"/>
      <c r="QHI7" s="20"/>
      <c r="QHJ7" s="20"/>
      <c r="QHK7" s="20"/>
      <c r="QHL7" s="20"/>
      <c r="QHM7" s="20"/>
      <c r="QHN7" s="20"/>
      <c r="QHO7" s="20"/>
      <c r="QHP7" s="20"/>
      <c r="QHQ7" s="20"/>
      <c r="QHR7" s="20"/>
      <c r="QHS7" s="20"/>
      <c r="QHT7" s="20"/>
      <c r="QHU7" s="20"/>
      <c r="QHV7" s="20"/>
      <c r="QHW7" s="20"/>
      <c r="QHX7" s="20"/>
      <c r="QHY7" s="20"/>
      <c r="QHZ7" s="20"/>
      <c r="QIA7" s="20"/>
      <c r="QIB7" s="20"/>
      <c r="QIC7" s="20"/>
      <c r="QID7" s="20"/>
      <c r="QIE7" s="20"/>
      <c r="QIF7" s="20"/>
      <c r="QIG7" s="20"/>
      <c r="QIH7" s="20"/>
      <c r="QII7" s="20"/>
      <c r="QIJ7" s="20"/>
      <c r="QIK7" s="20"/>
      <c r="QIL7" s="20"/>
      <c r="QIM7" s="20"/>
      <c r="QIN7" s="20"/>
      <c r="QIO7" s="20"/>
      <c r="QIP7" s="20"/>
      <c r="QIQ7" s="20"/>
      <c r="QIR7" s="20"/>
      <c r="QIS7" s="20"/>
      <c r="QIT7" s="20"/>
      <c r="QIU7" s="20"/>
      <c r="QIV7" s="20"/>
      <c r="QIW7" s="20"/>
      <c r="QIX7" s="20"/>
      <c r="QIY7" s="20"/>
      <c r="QIZ7" s="20"/>
      <c r="QJA7" s="20"/>
      <c r="QJB7" s="20"/>
      <c r="QJC7" s="20"/>
      <c r="QJD7" s="20"/>
      <c r="QJE7" s="20"/>
      <c r="QJF7" s="20"/>
      <c r="QJG7" s="20"/>
      <c r="QJH7" s="20"/>
      <c r="QJI7" s="20"/>
      <c r="QJJ7" s="20"/>
      <c r="QJK7" s="20"/>
      <c r="QJL7" s="20"/>
      <c r="QJM7" s="20"/>
      <c r="QJN7" s="20"/>
      <c r="QJO7" s="20"/>
      <c r="QJP7" s="20"/>
      <c r="QJQ7" s="20"/>
      <c r="QJR7" s="20"/>
      <c r="QJS7" s="20"/>
      <c r="QJT7" s="20"/>
      <c r="QJU7" s="20"/>
      <c r="QJV7" s="20"/>
      <c r="QJW7" s="20"/>
      <c r="QJX7" s="20"/>
      <c r="QJY7" s="20"/>
      <c r="QJZ7" s="20"/>
      <c r="QKA7" s="20"/>
      <c r="QKB7" s="20"/>
      <c r="QKC7" s="20"/>
      <c r="QKD7" s="20"/>
      <c r="QKE7" s="20"/>
      <c r="QKF7" s="20"/>
      <c r="QKG7" s="20"/>
      <c r="QKH7" s="20"/>
      <c r="QKI7" s="20"/>
      <c r="QKJ7" s="20"/>
      <c r="QKK7" s="20"/>
      <c r="QKL7" s="20"/>
      <c r="QKM7" s="20"/>
      <c r="QKN7" s="20"/>
      <c r="QKO7" s="20"/>
      <c r="QKP7" s="20"/>
      <c r="QKQ7" s="20"/>
      <c r="QKR7" s="20"/>
      <c r="QKS7" s="20"/>
      <c r="QKT7" s="20"/>
      <c r="QKU7" s="20"/>
      <c r="QKV7" s="20"/>
      <c r="QKW7" s="20"/>
      <c r="QKX7" s="20"/>
      <c r="QKY7" s="20"/>
      <c r="QKZ7" s="20"/>
      <c r="QLA7" s="20"/>
      <c r="QLB7" s="20"/>
      <c r="QLC7" s="20"/>
      <c r="QLD7" s="20"/>
      <c r="QLE7" s="20"/>
      <c r="QLF7" s="20"/>
      <c r="QLG7" s="20"/>
      <c r="QLH7" s="20"/>
      <c r="QLI7" s="20"/>
      <c r="QLJ7" s="20"/>
      <c r="QLK7" s="20"/>
      <c r="QLL7" s="20"/>
      <c r="QLM7" s="20"/>
      <c r="QLN7" s="20"/>
      <c r="QLO7" s="20"/>
      <c r="QLP7" s="20"/>
      <c r="QLQ7" s="20"/>
      <c r="QLR7" s="20"/>
      <c r="QLS7" s="20"/>
      <c r="QLT7" s="20"/>
      <c r="QLU7" s="20"/>
      <c r="QLV7" s="20"/>
      <c r="QLW7" s="20"/>
      <c r="QLX7" s="20"/>
      <c r="QLY7" s="20"/>
      <c r="QLZ7" s="20"/>
      <c r="QMA7" s="20"/>
      <c r="QMB7" s="20"/>
      <c r="QMC7" s="20"/>
      <c r="QMD7" s="20"/>
      <c r="QME7" s="20"/>
      <c r="QMF7" s="20"/>
      <c r="QMG7" s="20"/>
      <c r="QMH7" s="20"/>
      <c r="QMI7" s="20"/>
      <c r="QMJ7" s="20"/>
      <c r="QMK7" s="20"/>
      <c r="QML7" s="20"/>
      <c r="QMM7" s="20"/>
      <c r="QMN7" s="20"/>
      <c r="QMO7" s="20"/>
      <c r="QMP7" s="20"/>
      <c r="QMQ7" s="20"/>
      <c r="QMR7" s="20"/>
      <c r="QMS7" s="20"/>
      <c r="QMT7" s="20"/>
      <c r="QMU7" s="20"/>
      <c r="QMV7" s="20"/>
      <c r="QMW7" s="20"/>
      <c r="QMX7" s="20"/>
      <c r="QMY7" s="20"/>
      <c r="QMZ7" s="20"/>
      <c r="QNA7" s="20"/>
      <c r="QNB7" s="20"/>
      <c r="QNC7" s="20"/>
      <c r="QND7" s="20"/>
      <c r="QNE7" s="20"/>
      <c r="QNF7" s="20"/>
      <c r="QNG7" s="20"/>
      <c r="QNH7" s="20"/>
      <c r="QNI7" s="20"/>
      <c r="QNJ7" s="20"/>
      <c r="QNK7" s="20"/>
      <c r="QNL7" s="20"/>
      <c r="QNM7" s="20"/>
      <c r="QNN7" s="20"/>
      <c r="QNO7" s="20"/>
      <c r="QNP7" s="20"/>
      <c r="QNQ7" s="20"/>
      <c r="QNR7" s="20"/>
      <c r="QNS7" s="20"/>
      <c r="QNT7" s="20"/>
      <c r="QNU7" s="20"/>
      <c r="QNV7" s="20"/>
      <c r="QNW7" s="20"/>
      <c r="QNX7" s="20"/>
      <c r="QNY7" s="20"/>
      <c r="QNZ7" s="20"/>
      <c r="QOA7" s="20"/>
      <c r="QOB7" s="20"/>
      <c r="QOC7" s="20"/>
      <c r="QOD7" s="20"/>
      <c r="QOE7" s="20"/>
      <c r="QOF7" s="20"/>
      <c r="QOG7" s="20"/>
      <c r="QOH7" s="20"/>
      <c r="QOI7" s="20"/>
      <c r="QOJ7" s="20"/>
      <c r="QOK7" s="20"/>
      <c r="QOL7" s="20"/>
      <c r="QOM7" s="20"/>
      <c r="QON7" s="20"/>
      <c r="QOO7" s="20"/>
      <c r="QOP7" s="20"/>
      <c r="QOQ7" s="20"/>
      <c r="QOR7" s="20"/>
      <c r="QOS7" s="20"/>
      <c r="QOT7" s="20"/>
      <c r="QOU7" s="20"/>
      <c r="QOV7" s="20"/>
      <c r="QOW7" s="20"/>
      <c r="QOX7" s="20"/>
      <c r="QOY7" s="20"/>
      <c r="QOZ7" s="20"/>
      <c r="QPA7" s="20"/>
      <c r="QPB7" s="20"/>
      <c r="QPC7" s="20"/>
      <c r="QPD7" s="20"/>
      <c r="QPE7" s="20"/>
      <c r="QPF7" s="20"/>
      <c r="QPG7" s="20"/>
      <c r="QPH7" s="20"/>
      <c r="QPI7" s="20"/>
      <c r="QPJ7" s="20"/>
      <c r="QPK7" s="20"/>
      <c r="QPL7" s="20"/>
      <c r="QPM7" s="20"/>
      <c r="QPN7" s="20"/>
      <c r="QPO7" s="20"/>
      <c r="QPP7" s="20"/>
      <c r="QPQ7" s="20"/>
      <c r="QPR7" s="20"/>
      <c r="QPS7" s="20"/>
      <c r="QPT7" s="20"/>
      <c r="QPU7" s="20"/>
      <c r="QPV7" s="20"/>
      <c r="QPW7" s="20"/>
      <c r="QPX7" s="20"/>
      <c r="QPY7" s="20"/>
      <c r="QPZ7" s="20"/>
      <c r="QQA7" s="20"/>
      <c r="QQB7" s="20"/>
      <c r="QQC7" s="20"/>
      <c r="QQD7" s="20"/>
      <c r="QQE7" s="20"/>
      <c r="QQF7" s="20"/>
      <c r="QQG7" s="20"/>
      <c r="QQH7" s="20"/>
      <c r="QQI7" s="20"/>
      <c r="QQJ7" s="20"/>
      <c r="QQK7" s="20"/>
      <c r="QQL7" s="20"/>
      <c r="QQM7" s="20"/>
      <c r="QQN7" s="20"/>
      <c r="QQO7" s="20"/>
      <c r="QQP7" s="20"/>
      <c r="QQQ7" s="20"/>
      <c r="QQR7" s="20"/>
      <c r="QQS7" s="20"/>
      <c r="QQT7" s="20"/>
      <c r="QQU7" s="20"/>
      <c r="QQV7" s="20"/>
      <c r="QQW7" s="20"/>
      <c r="QQX7" s="20"/>
      <c r="QQY7" s="20"/>
      <c r="QQZ7" s="20"/>
      <c r="QRA7" s="20"/>
      <c r="QRB7" s="20"/>
      <c r="QRC7" s="20"/>
      <c r="QRD7" s="20"/>
      <c r="QRE7" s="20"/>
      <c r="QRF7" s="20"/>
      <c r="QRG7" s="20"/>
      <c r="QRH7" s="20"/>
      <c r="QRI7" s="20"/>
      <c r="QRJ7" s="20"/>
      <c r="QRK7" s="20"/>
      <c r="QRL7" s="20"/>
      <c r="QRM7" s="20"/>
      <c r="QRN7" s="20"/>
      <c r="QRO7" s="20"/>
      <c r="QRP7" s="20"/>
      <c r="QRQ7" s="20"/>
      <c r="QRR7" s="20"/>
      <c r="QRS7" s="20"/>
      <c r="QRT7" s="20"/>
      <c r="QRU7" s="20"/>
      <c r="QRV7" s="20"/>
      <c r="QRW7" s="20"/>
      <c r="QRX7" s="20"/>
      <c r="QRY7" s="20"/>
      <c r="QRZ7" s="20"/>
      <c r="QSA7" s="20"/>
      <c r="QSB7" s="20"/>
      <c r="QSC7" s="20"/>
      <c r="QSD7" s="20"/>
      <c r="QSE7" s="20"/>
      <c r="QSF7" s="20"/>
      <c r="QSG7" s="20"/>
      <c r="QSH7" s="20"/>
      <c r="QSI7" s="20"/>
      <c r="QSJ7" s="20"/>
      <c r="QSK7" s="20"/>
      <c r="QSL7" s="20"/>
      <c r="QSM7" s="20"/>
      <c r="QSN7" s="20"/>
      <c r="QSO7" s="20"/>
      <c r="QSP7" s="20"/>
      <c r="QSQ7" s="20"/>
      <c r="QSR7" s="20"/>
      <c r="QSS7" s="20"/>
      <c r="QST7" s="20"/>
      <c r="QSU7" s="20"/>
      <c r="QSV7" s="20"/>
      <c r="QSW7" s="20"/>
      <c r="QSX7" s="20"/>
      <c r="QSY7" s="20"/>
      <c r="QSZ7" s="20"/>
      <c r="QTA7" s="20"/>
      <c r="QTB7" s="20"/>
      <c r="QTC7" s="20"/>
      <c r="QTD7" s="20"/>
      <c r="QTE7" s="20"/>
      <c r="QTF7" s="20"/>
      <c r="QTG7" s="20"/>
      <c r="QTH7" s="20"/>
      <c r="QTI7" s="20"/>
      <c r="QTJ7" s="20"/>
      <c r="QTK7" s="20"/>
      <c r="QTL7" s="20"/>
      <c r="QTM7" s="20"/>
      <c r="QTN7" s="20"/>
      <c r="QTO7" s="20"/>
      <c r="QTP7" s="20"/>
      <c r="QTQ7" s="20"/>
      <c r="QTR7" s="20"/>
      <c r="QTS7" s="20"/>
      <c r="QTT7" s="20"/>
      <c r="QTU7" s="20"/>
      <c r="QTV7" s="20"/>
      <c r="QTW7" s="20"/>
      <c r="QTX7" s="20"/>
      <c r="QTY7" s="20"/>
      <c r="QTZ7" s="20"/>
      <c r="QUA7" s="20"/>
      <c r="QUB7" s="20"/>
      <c r="QUC7" s="20"/>
      <c r="QUD7" s="20"/>
      <c r="QUE7" s="20"/>
      <c r="QUF7" s="20"/>
      <c r="QUG7" s="20"/>
      <c r="QUH7" s="20"/>
      <c r="QUI7" s="20"/>
      <c r="QUJ7" s="20"/>
      <c r="QUK7" s="20"/>
      <c r="QUL7" s="20"/>
      <c r="QUM7" s="20"/>
      <c r="QUN7" s="20"/>
      <c r="QUO7" s="20"/>
      <c r="QUP7" s="20"/>
      <c r="QUQ7" s="20"/>
      <c r="QUR7" s="20"/>
      <c r="QUS7" s="20"/>
      <c r="QUT7" s="20"/>
      <c r="QUU7" s="20"/>
      <c r="QUV7" s="20"/>
      <c r="QUW7" s="20"/>
      <c r="QUX7" s="20"/>
      <c r="QUY7" s="20"/>
      <c r="QUZ7" s="20"/>
      <c r="QVA7" s="20"/>
      <c r="QVB7" s="20"/>
      <c r="QVC7" s="20"/>
      <c r="QVD7" s="20"/>
      <c r="QVE7" s="20"/>
      <c r="QVF7" s="20"/>
      <c r="QVG7" s="20"/>
      <c r="QVH7" s="20"/>
      <c r="QVI7" s="20"/>
      <c r="QVJ7" s="20"/>
      <c r="QVK7" s="20"/>
      <c r="QVL7" s="20"/>
      <c r="QVM7" s="20"/>
      <c r="QVN7" s="20"/>
      <c r="QVO7" s="20"/>
      <c r="QVP7" s="20"/>
      <c r="QVQ7" s="20"/>
      <c r="QVR7" s="20"/>
      <c r="QVS7" s="20"/>
      <c r="QVT7" s="20"/>
      <c r="QVU7" s="20"/>
      <c r="QVV7" s="20"/>
      <c r="QVW7" s="20"/>
      <c r="QVX7" s="20"/>
      <c r="QVY7" s="20"/>
      <c r="QVZ7" s="20"/>
      <c r="QWA7" s="20"/>
      <c r="QWB7" s="20"/>
      <c r="QWC7" s="20"/>
      <c r="QWD7" s="20"/>
      <c r="QWE7" s="20"/>
      <c r="QWF7" s="20"/>
      <c r="QWG7" s="20"/>
      <c r="QWH7" s="20"/>
      <c r="QWI7" s="20"/>
      <c r="QWJ7" s="20"/>
      <c r="QWK7" s="20"/>
      <c r="QWL7" s="20"/>
      <c r="QWM7" s="20"/>
      <c r="QWN7" s="20"/>
      <c r="QWO7" s="20"/>
      <c r="QWP7" s="20"/>
      <c r="QWQ7" s="20"/>
      <c r="QWR7" s="20"/>
      <c r="QWS7" s="20"/>
      <c r="QWT7" s="20"/>
      <c r="QWU7" s="20"/>
      <c r="QWV7" s="20"/>
      <c r="QWW7" s="20"/>
      <c r="QWX7" s="20"/>
      <c r="QWY7" s="20"/>
      <c r="QWZ7" s="20"/>
      <c r="QXA7" s="20"/>
      <c r="QXB7" s="20"/>
      <c r="QXC7" s="20"/>
      <c r="QXD7" s="20"/>
      <c r="QXE7" s="20"/>
      <c r="QXF7" s="20"/>
      <c r="QXG7" s="20"/>
      <c r="QXH7" s="20"/>
      <c r="QXI7" s="20"/>
      <c r="QXJ7" s="20"/>
      <c r="QXK7" s="20"/>
      <c r="QXL7" s="20"/>
      <c r="QXM7" s="20"/>
      <c r="QXN7" s="20"/>
      <c r="QXO7" s="20"/>
      <c r="QXP7" s="20"/>
      <c r="QXQ7" s="20"/>
      <c r="QXR7" s="20"/>
      <c r="QXS7" s="20"/>
      <c r="QXT7" s="20"/>
      <c r="QXU7" s="20"/>
      <c r="QXV7" s="20"/>
      <c r="QXW7" s="20"/>
      <c r="QXX7" s="20"/>
      <c r="QXY7" s="20"/>
      <c r="QXZ7" s="20"/>
      <c r="QYA7" s="20"/>
      <c r="QYB7" s="20"/>
      <c r="QYC7" s="20"/>
      <c r="QYD7" s="20"/>
      <c r="QYE7" s="20"/>
      <c r="QYF7" s="20"/>
      <c r="QYG7" s="20"/>
      <c r="QYH7" s="20"/>
      <c r="QYI7" s="20"/>
      <c r="QYJ7" s="20"/>
      <c r="QYK7" s="20"/>
      <c r="QYL7" s="20"/>
      <c r="QYM7" s="20"/>
      <c r="QYN7" s="20"/>
      <c r="QYO7" s="20"/>
      <c r="QYP7" s="20"/>
      <c r="QYQ7" s="20"/>
      <c r="QYR7" s="20"/>
      <c r="QYS7" s="20"/>
      <c r="QYT7" s="20"/>
      <c r="QYU7" s="20"/>
      <c r="QYV7" s="20"/>
      <c r="QYW7" s="20"/>
      <c r="QYX7" s="20"/>
      <c r="QYY7" s="20"/>
      <c r="QYZ7" s="20"/>
      <c r="QZA7" s="20"/>
      <c r="QZB7" s="20"/>
      <c r="QZC7" s="20"/>
      <c r="QZD7" s="20"/>
      <c r="QZE7" s="20"/>
      <c r="QZF7" s="20"/>
      <c r="QZG7" s="20"/>
      <c r="QZH7" s="20"/>
      <c r="QZI7" s="20"/>
      <c r="QZJ7" s="20"/>
      <c r="QZK7" s="20"/>
      <c r="QZL7" s="20"/>
      <c r="QZM7" s="20"/>
      <c r="QZN7" s="20"/>
      <c r="QZO7" s="20"/>
      <c r="QZP7" s="20"/>
      <c r="QZQ7" s="20"/>
      <c r="QZR7" s="20"/>
      <c r="QZS7" s="20"/>
      <c r="QZT7" s="20"/>
      <c r="QZU7" s="20"/>
      <c r="QZV7" s="20"/>
      <c r="QZW7" s="20"/>
      <c r="QZX7" s="20"/>
      <c r="QZY7" s="20"/>
      <c r="QZZ7" s="20"/>
      <c r="RAA7" s="20"/>
      <c r="RAB7" s="20"/>
      <c r="RAC7" s="20"/>
      <c r="RAD7" s="20"/>
      <c r="RAE7" s="20"/>
      <c r="RAF7" s="20"/>
      <c r="RAG7" s="20"/>
      <c r="RAH7" s="20"/>
      <c r="RAI7" s="20"/>
      <c r="RAJ7" s="20"/>
      <c r="RAK7" s="20"/>
      <c r="RAL7" s="20"/>
      <c r="RAM7" s="20"/>
      <c r="RAN7" s="20"/>
      <c r="RAO7" s="20"/>
      <c r="RAP7" s="20"/>
      <c r="RAQ7" s="20"/>
      <c r="RAR7" s="20"/>
      <c r="RAS7" s="20"/>
      <c r="RAT7" s="20"/>
      <c r="RAU7" s="20"/>
      <c r="RAV7" s="20"/>
      <c r="RAW7" s="20"/>
      <c r="RAX7" s="20"/>
      <c r="RAY7" s="20"/>
      <c r="RAZ7" s="20"/>
      <c r="RBA7" s="20"/>
      <c r="RBB7" s="20"/>
      <c r="RBC7" s="20"/>
      <c r="RBD7" s="20"/>
      <c r="RBE7" s="20"/>
      <c r="RBF7" s="20"/>
      <c r="RBG7" s="20"/>
      <c r="RBH7" s="20"/>
      <c r="RBI7" s="20"/>
      <c r="RBJ7" s="20"/>
      <c r="RBK7" s="20"/>
      <c r="RBL7" s="20"/>
      <c r="RBM7" s="20"/>
      <c r="RBN7" s="20"/>
      <c r="RBO7" s="20"/>
      <c r="RBP7" s="20"/>
      <c r="RBQ7" s="20"/>
      <c r="RBR7" s="20"/>
      <c r="RBS7" s="20"/>
      <c r="RBT7" s="20"/>
      <c r="RBU7" s="20"/>
      <c r="RBV7" s="20"/>
      <c r="RBW7" s="20"/>
      <c r="RBX7" s="20"/>
      <c r="RBY7" s="20"/>
      <c r="RBZ7" s="20"/>
      <c r="RCA7" s="20"/>
      <c r="RCB7" s="20"/>
      <c r="RCC7" s="20"/>
      <c r="RCD7" s="20"/>
      <c r="RCE7" s="20"/>
      <c r="RCF7" s="20"/>
      <c r="RCG7" s="20"/>
      <c r="RCH7" s="20"/>
      <c r="RCI7" s="20"/>
      <c r="RCJ7" s="20"/>
      <c r="RCK7" s="20"/>
      <c r="RCL7" s="20"/>
      <c r="RCM7" s="20"/>
      <c r="RCN7" s="20"/>
      <c r="RCO7" s="20"/>
      <c r="RCP7" s="20"/>
      <c r="RCQ7" s="20"/>
      <c r="RCR7" s="20"/>
      <c r="RCS7" s="20"/>
      <c r="RCT7" s="20"/>
      <c r="RCU7" s="20"/>
      <c r="RCV7" s="20"/>
      <c r="RCW7" s="20"/>
      <c r="RCX7" s="20"/>
      <c r="RCY7" s="20"/>
      <c r="RCZ7" s="20"/>
      <c r="RDA7" s="20"/>
      <c r="RDB7" s="20"/>
      <c r="RDC7" s="20"/>
      <c r="RDD7" s="20"/>
      <c r="RDE7" s="20"/>
      <c r="RDF7" s="20"/>
      <c r="RDG7" s="20"/>
      <c r="RDH7" s="20"/>
      <c r="RDI7" s="20"/>
      <c r="RDJ7" s="20"/>
      <c r="RDK7" s="20"/>
      <c r="RDL7" s="20"/>
      <c r="RDM7" s="20"/>
      <c r="RDN7" s="20"/>
      <c r="RDO7" s="20"/>
      <c r="RDP7" s="20"/>
      <c r="RDQ7" s="20"/>
      <c r="RDR7" s="20"/>
      <c r="RDS7" s="20"/>
      <c r="RDT7" s="20"/>
      <c r="RDU7" s="20"/>
      <c r="RDV7" s="20"/>
      <c r="RDW7" s="20"/>
      <c r="RDX7" s="20"/>
      <c r="RDY7" s="20"/>
      <c r="RDZ7" s="20"/>
      <c r="REA7" s="20"/>
      <c r="REB7" s="20"/>
      <c r="REC7" s="20"/>
      <c r="RED7" s="20"/>
      <c r="REE7" s="20"/>
      <c r="REF7" s="20"/>
      <c r="REG7" s="20"/>
      <c r="REH7" s="20"/>
      <c r="REI7" s="20"/>
      <c r="REJ7" s="20"/>
      <c r="REK7" s="20"/>
      <c r="REL7" s="20"/>
      <c r="REM7" s="20"/>
      <c r="REN7" s="20"/>
      <c r="REO7" s="20"/>
      <c r="REP7" s="20"/>
      <c r="REQ7" s="20"/>
      <c r="RER7" s="20"/>
      <c r="RES7" s="20"/>
      <c r="RET7" s="20"/>
      <c r="REU7" s="20"/>
      <c r="REV7" s="20"/>
      <c r="REW7" s="20"/>
      <c r="REX7" s="20"/>
      <c r="REY7" s="20"/>
      <c r="REZ7" s="20"/>
      <c r="RFA7" s="20"/>
      <c r="RFB7" s="20"/>
      <c r="RFC7" s="20"/>
      <c r="RFD7" s="20"/>
      <c r="RFE7" s="20"/>
      <c r="RFF7" s="20"/>
      <c r="RFG7" s="20"/>
      <c r="RFH7" s="20"/>
      <c r="RFI7" s="20"/>
      <c r="RFJ7" s="20"/>
      <c r="RFK7" s="20"/>
      <c r="RFL7" s="20"/>
      <c r="RFM7" s="20"/>
      <c r="RFN7" s="20"/>
      <c r="RFO7" s="20"/>
      <c r="RFP7" s="20"/>
      <c r="RFQ7" s="20"/>
      <c r="RFR7" s="20"/>
      <c r="RFS7" s="20"/>
      <c r="RFT7" s="20"/>
      <c r="RFU7" s="20"/>
      <c r="RFV7" s="20"/>
      <c r="RFW7" s="20"/>
      <c r="RFX7" s="20"/>
      <c r="RFY7" s="20"/>
      <c r="RFZ7" s="20"/>
      <c r="RGA7" s="20"/>
      <c r="RGB7" s="20"/>
      <c r="RGC7" s="20"/>
      <c r="RGD7" s="20"/>
      <c r="RGE7" s="20"/>
      <c r="RGF7" s="20"/>
      <c r="RGG7" s="20"/>
      <c r="RGH7" s="20"/>
      <c r="RGI7" s="20"/>
      <c r="RGJ7" s="20"/>
      <c r="RGK7" s="20"/>
      <c r="RGL7" s="20"/>
      <c r="RGM7" s="20"/>
      <c r="RGN7" s="20"/>
      <c r="RGO7" s="20"/>
      <c r="RGP7" s="20"/>
      <c r="RGQ7" s="20"/>
      <c r="RGR7" s="20"/>
      <c r="RGS7" s="20"/>
      <c r="RGT7" s="20"/>
      <c r="RGU7" s="20"/>
      <c r="RGV7" s="20"/>
      <c r="RGW7" s="20"/>
      <c r="RGX7" s="20"/>
      <c r="RGY7" s="20"/>
      <c r="RGZ7" s="20"/>
      <c r="RHA7" s="20"/>
      <c r="RHB7" s="20"/>
      <c r="RHC7" s="20"/>
      <c r="RHD7" s="20"/>
      <c r="RHE7" s="20"/>
      <c r="RHF7" s="20"/>
      <c r="RHG7" s="20"/>
      <c r="RHH7" s="20"/>
      <c r="RHI7" s="20"/>
      <c r="RHJ7" s="20"/>
      <c r="RHK7" s="20"/>
      <c r="RHL7" s="20"/>
      <c r="RHM7" s="20"/>
      <c r="RHN7" s="20"/>
      <c r="RHO7" s="20"/>
      <c r="RHP7" s="20"/>
      <c r="RHQ7" s="20"/>
      <c r="RHR7" s="20"/>
      <c r="RHS7" s="20"/>
      <c r="RHT7" s="20"/>
      <c r="RHU7" s="20"/>
      <c r="RHV7" s="20"/>
      <c r="RHW7" s="20"/>
      <c r="RHX7" s="20"/>
      <c r="RHY7" s="20"/>
      <c r="RHZ7" s="20"/>
      <c r="RIA7" s="20"/>
      <c r="RIB7" s="20"/>
      <c r="RIC7" s="20"/>
      <c r="RID7" s="20"/>
      <c r="RIE7" s="20"/>
      <c r="RIF7" s="20"/>
      <c r="RIG7" s="20"/>
      <c r="RIH7" s="20"/>
      <c r="RII7" s="20"/>
      <c r="RIJ7" s="20"/>
      <c r="RIK7" s="20"/>
      <c r="RIL7" s="20"/>
      <c r="RIM7" s="20"/>
      <c r="RIN7" s="20"/>
      <c r="RIO7" s="20"/>
      <c r="RIP7" s="20"/>
      <c r="RIQ7" s="20"/>
      <c r="RIR7" s="20"/>
      <c r="RIS7" s="20"/>
      <c r="RIT7" s="20"/>
      <c r="RIU7" s="20"/>
      <c r="RIV7" s="20"/>
      <c r="RIW7" s="20"/>
      <c r="RIX7" s="20"/>
      <c r="RIY7" s="20"/>
      <c r="RIZ7" s="20"/>
      <c r="RJA7" s="20"/>
      <c r="RJB7" s="20"/>
      <c r="RJC7" s="20"/>
      <c r="RJD7" s="20"/>
      <c r="RJE7" s="20"/>
      <c r="RJF7" s="20"/>
      <c r="RJG7" s="20"/>
      <c r="RJH7" s="20"/>
      <c r="RJI7" s="20"/>
      <c r="RJJ7" s="20"/>
      <c r="RJK7" s="20"/>
      <c r="RJL7" s="20"/>
      <c r="RJM7" s="20"/>
      <c r="RJN7" s="20"/>
      <c r="RJO7" s="20"/>
      <c r="RJP7" s="20"/>
      <c r="RJQ7" s="20"/>
      <c r="RJR7" s="20"/>
      <c r="RJS7" s="20"/>
      <c r="RJT7" s="20"/>
      <c r="RJU7" s="20"/>
      <c r="RJV7" s="20"/>
      <c r="RJW7" s="20"/>
      <c r="RJX7" s="20"/>
      <c r="RJY7" s="20"/>
      <c r="RJZ7" s="20"/>
      <c r="RKA7" s="20"/>
      <c r="RKB7" s="20"/>
      <c r="RKC7" s="20"/>
      <c r="RKD7" s="20"/>
      <c r="RKE7" s="20"/>
      <c r="RKF7" s="20"/>
      <c r="RKG7" s="20"/>
      <c r="RKH7" s="20"/>
      <c r="RKI7" s="20"/>
      <c r="RKJ7" s="20"/>
      <c r="RKK7" s="20"/>
      <c r="RKL7" s="20"/>
      <c r="RKM7" s="20"/>
      <c r="RKN7" s="20"/>
      <c r="RKO7" s="20"/>
      <c r="RKP7" s="20"/>
      <c r="RKQ7" s="20"/>
      <c r="RKR7" s="20"/>
      <c r="RKS7" s="20"/>
      <c r="RKT7" s="20"/>
      <c r="RKU7" s="20"/>
      <c r="RKV7" s="20"/>
      <c r="RKW7" s="20"/>
      <c r="RKX7" s="20"/>
      <c r="RKY7" s="20"/>
      <c r="RKZ7" s="20"/>
      <c r="RLA7" s="20"/>
      <c r="RLB7" s="20"/>
      <c r="RLC7" s="20"/>
      <c r="RLD7" s="20"/>
      <c r="RLE7" s="20"/>
      <c r="RLF7" s="20"/>
      <c r="RLG7" s="20"/>
      <c r="RLH7" s="20"/>
      <c r="RLI7" s="20"/>
      <c r="RLJ7" s="20"/>
      <c r="RLK7" s="20"/>
      <c r="RLL7" s="20"/>
      <c r="RLM7" s="20"/>
      <c r="RLN7" s="20"/>
      <c r="RLO7" s="20"/>
      <c r="RLP7" s="20"/>
      <c r="RLQ7" s="20"/>
      <c r="RLR7" s="20"/>
      <c r="RLS7" s="20"/>
      <c r="RLT7" s="20"/>
      <c r="RLU7" s="20"/>
      <c r="RLV7" s="20"/>
      <c r="RLW7" s="20"/>
      <c r="RLX7" s="20"/>
      <c r="RLY7" s="20"/>
      <c r="RLZ7" s="20"/>
      <c r="RMA7" s="20"/>
      <c r="RMB7" s="20"/>
      <c r="RMC7" s="20"/>
      <c r="RMD7" s="20"/>
      <c r="RME7" s="20"/>
      <c r="RMF7" s="20"/>
      <c r="RMG7" s="20"/>
      <c r="RMH7" s="20"/>
      <c r="RMI7" s="20"/>
      <c r="RMJ7" s="20"/>
      <c r="RMK7" s="20"/>
      <c r="RML7" s="20"/>
      <c r="RMM7" s="20"/>
      <c r="RMN7" s="20"/>
      <c r="RMO7" s="20"/>
      <c r="RMP7" s="20"/>
      <c r="RMQ7" s="20"/>
      <c r="RMR7" s="20"/>
      <c r="RMS7" s="20"/>
      <c r="RMT7" s="20"/>
      <c r="RMU7" s="20"/>
      <c r="RMV7" s="20"/>
      <c r="RMW7" s="20"/>
      <c r="RMX7" s="20"/>
      <c r="RMY7" s="20"/>
      <c r="RMZ7" s="20"/>
      <c r="RNA7" s="20"/>
      <c r="RNB7" s="20"/>
      <c r="RNC7" s="20"/>
      <c r="RND7" s="20"/>
      <c r="RNE7" s="20"/>
      <c r="RNF7" s="20"/>
      <c r="RNG7" s="20"/>
      <c r="RNH7" s="20"/>
      <c r="RNI7" s="20"/>
      <c r="RNJ7" s="20"/>
      <c r="RNK7" s="20"/>
      <c r="RNL7" s="20"/>
      <c r="RNM7" s="20"/>
      <c r="RNN7" s="20"/>
      <c r="RNO7" s="20"/>
      <c r="RNP7" s="20"/>
      <c r="RNQ7" s="20"/>
      <c r="RNR7" s="20"/>
      <c r="RNS7" s="20"/>
      <c r="RNT7" s="20"/>
      <c r="RNU7" s="20"/>
      <c r="RNV7" s="20"/>
      <c r="RNW7" s="20"/>
      <c r="RNX7" s="20"/>
      <c r="RNY7" s="20"/>
      <c r="RNZ7" s="20"/>
      <c r="ROA7" s="20"/>
      <c r="ROB7" s="20"/>
      <c r="ROC7" s="20"/>
      <c r="ROD7" s="20"/>
      <c r="ROE7" s="20"/>
      <c r="ROF7" s="20"/>
      <c r="ROG7" s="20"/>
      <c r="ROH7" s="20"/>
      <c r="ROI7" s="20"/>
      <c r="ROJ7" s="20"/>
      <c r="ROK7" s="20"/>
      <c r="ROL7" s="20"/>
      <c r="ROM7" s="20"/>
      <c r="RON7" s="20"/>
      <c r="ROO7" s="20"/>
      <c r="ROP7" s="20"/>
      <c r="ROQ7" s="20"/>
      <c r="ROR7" s="20"/>
      <c r="ROS7" s="20"/>
      <c r="ROT7" s="20"/>
      <c r="ROU7" s="20"/>
      <c r="ROV7" s="20"/>
      <c r="ROW7" s="20"/>
      <c r="ROX7" s="20"/>
      <c r="ROY7" s="20"/>
      <c r="ROZ7" s="20"/>
      <c r="RPA7" s="20"/>
      <c r="RPB7" s="20"/>
      <c r="RPC7" s="20"/>
      <c r="RPD7" s="20"/>
      <c r="RPE7" s="20"/>
      <c r="RPF7" s="20"/>
      <c r="RPG7" s="20"/>
      <c r="RPH7" s="20"/>
      <c r="RPI7" s="20"/>
      <c r="RPJ7" s="20"/>
      <c r="RPK7" s="20"/>
      <c r="RPL7" s="20"/>
      <c r="RPM7" s="20"/>
      <c r="RPN7" s="20"/>
      <c r="RPO7" s="20"/>
      <c r="RPP7" s="20"/>
      <c r="RPQ7" s="20"/>
      <c r="RPR7" s="20"/>
      <c r="RPS7" s="20"/>
      <c r="RPT7" s="20"/>
      <c r="RPU7" s="20"/>
      <c r="RPV7" s="20"/>
      <c r="RPW7" s="20"/>
      <c r="RPX7" s="20"/>
      <c r="RPY7" s="20"/>
      <c r="RPZ7" s="20"/>
      <c r="RQA7" s="20"/>
      <c r="RQB7" s="20"/>
      <c r="RQC7" s="20"/>
      <c r="RQD7" s="20"/>
      <c r="RQE7" s="20"/>
      <c r="RQF7" s="20"/>
      <c r="RQG7" s="20"/>
      <c r="RQH7" s="20"/>
      <c r="RQI7" s="20"/>
      <c r="RQJ7" s="20"/>
      <c r="RQK7" s="20"/>
      <c r="RQL7" s="20"/>
      <c r="RQM7" s="20"/>
      <c r="RQN7" s="20"/>
      <c r="RQO7" s="20"/>
      <c r="RQP7" s="20"/>
      <c r="RQQ7" s="20"/>
      <c r="RQR7" s="20"/>
      <c r="RQS7" s="20"/>
      <c r="RQT7" s="20"/>
      <c r="RQU7" s="20"/>
      <c r="RQV7" s="20"/>
      <c r="RQW7" s="20"/>
      <c r="RQX7" s="20"/>
      <c r="RQY7" s="20"/>
      <c r="RQZ7" s="20"/>
      <c r="RRA7" s="20"/>
      <c r="RRB7" s="20"/>
      <c r="RRC7" s="20"/>
      <c r="RRD7" s="20"/>
      <c r="RRE7" s="20"/>
      <c r="RRF7" s="20"/>
      <c r="RRG7" s="20"/>
      <c r="RRH7" s="20"/>
      <c r="RRI7" s="20"/>
      <c r="RRJ7" s="20"/>
      <c r="RRK7" s="20"/>
      <c r="RRL7" s="20"/>
      <c r="RRM7" s="20"/>
      <c r="RRN7" s="20"/>
      <c r="RRO7" s="20"/>
      <c r="RRP7" s="20"/>
      <c r="RRQ7" s="20"/>
      <c r="RRR7" s="20"/>
      <c r="RRS7" s="20"/>
      <c r="RRT7" s="20"/>
      <c r="RRU7" s="20"/>
      <c r="RRV7" s="20"/>
      <c r="RRW7" s="20"/>
      <c r="RRX7" s="20"/>
      <c r="RRY7" s="20"/>
      <c r="RRZ7" s="20"/>
      <c r="RSA7" s="20"/>
      <c r="RSB7" s="20"/>
      <c r="RSC7" s="20"/>
      <c r="RSD7" s="20"/>
      <c r="RSE7" s="20"/>
      <c r="RSF7" s="20"/>
      <c r="RSG7" s="20"/>
      <c r="RSH7" s="20"/>
      <c r="RSI7" s="20"/>
      <c r="RSJ7" s="20"/>
      <c r="RSK7" s="20"/>
      <c r="RSL7" s="20"/>
      <c r="RSM7" s="20"/>
      <c r="RSN7" s="20"/>
      <c r="RSO7" s="20"/>
      <c r="RSP7" s="20"/>
      <c r="RSQ7" s="20"/>
      <c r="RSR7" s="20"/>
      <c r="RSS7" s="20"/>
      <c r="RST7" s="20"/>
      <c r="RSU7" s="20"/>
      <c r="RSV7" s="20"/>
      <c r="RSW7" s="20"/>
      <c r="RSX7" s="20"/>
      <c r="RSY7" s="20"/>
      <c r="RSZ7" s="20"/>
      <c r="RTA7" s="20"/>
      <c r="RTB7" s="20"/>
      <c r="RTC7" s="20"/>
      <c r="RTD7" s="20"/>
      <c r="RTE7" s="20"/>
      <c r="RTF7" s="20"/>
      <c r="RTG7" s="20"/>
      <c r="RTH7" s="20"/>
      <c r="RTI7" s="20"/>
      <c r="RTJ7" s="20"/>
      <c r="RTK7" s="20"/>
      <c r="RTL7" s="20"/>
      <c r="RTM7" s="20"/>
      <c r="RTN7" s="20"/>
      <c r="RTO7" s="20"/>
      <c r="RTP7" s="20"/>
      <c r="RTQ7" s="20"/>
      <c r="RTR7" s="20"/>
      <c r="RTS7" s="20"/>
      <c r="RTT7" s="20"/>
      <c r="RTU7" s="20"/>
      <c r="RTV7" s="20"/>
      <c r="RTW7" s="20"/>
      <c r="RTX7" s="20"/>
      <c r="RTY7" s="20"/>
      <c r="RTZ7" s="20"/>
      <c r="RUA7" s="20"/>
      <c r="RUB7" s="20"/>
      <c r="RUC7" s="20"/>
      <c r="RUD7" s="20"/>
      <c r="RUE7" s="20"/>
      <c r="RUF7" s="20"/>
      <c r="RUG7" s="20"/>
      <c r="RUH7" s="20"/>
      <c r="RUI7" s="20"/>
      <c r="RUJ7" s="20"/>
      <c r="RUK7" s="20"/>
      <c r="RUL7" s="20"/>
      <c r="RUM7" s="20"/>
      <c r="RUN7" s="20"/>
      <c r="RUO7" s="20"/>
      <c r="RUP7" s="20"/>
      <c r="RUQ7" s="20"/>
      <c r="RUR7" s="20"/>
      <c r="RUS7" s="20"/>
      <c r="RUT7" s="20"/>
      <c r="RUU7" s="20"/>
      <c r="RUV7" s="20"/>
      <c r="RUW7" s="20"/>
      <c r="RUX7" s="20"/>
      <c r="RUY7" s="20"/>
      <c r="RUZ7" s="20"/>
      <c r="RVA7" s="20"/>
      <c r="RVB7" s="20"/>
      <c r="RVC7" s="20"/>
      <c r="RVD7" s="20"/>
      <c r="RVE7" s="20"/>
      <c r="RVF7" s="20"/>
      <c r="RVG7" s="20"/>
      <c r="RVH7" s="20"/>
      <c r="RVI7" s="20"/>
      <c r="RVJ7" s="20"/>
      <c r="RVK7" s="20"/>
      <c r="RVL7" s="20"/>
      <c r="RVM7" s="20"/>
      <c r="RVN7" s="20"/>
      <c r="RVO7" s="20"/>
      <c r="RVP7" s="20"/>
      <c r="RVQ7" s="20"/>
      <c r="RVR7" s="20"/>
      <c r="RVS7" s="20"/>
      <c r="RVT7" s="20"/>
      <c r="RVU7" s="20"/>
      <c r="RVV7" s="20"/>
      <c r="RVW7" s="20"/>
      <c r="RVX7" s="20"/>
      <c r="RVY7" s="20"/>
      <c r="RVZ7" s="20"/>
      <c r="RWA7" s="20"/>
      <c r="RWB7" s="20"/>
      <c r="RWC7" s="20"/>
      <c r="RWD7" s="20"/>
      <c r="RWE7" s="20"/>
      <c r="RWF7" s="20"/>
      <c r="RWG7" s="20"/>
      <c r="RWH7" s="20"/>
      <c r="RWI7" s="20"/>
      <c r="RWJ7" s="20"/>
      <c r="RWK7" s="20"/>
      <c r="RWL7" s="20"/>
      <c r="RWM7" s="20"/>
      <c r="RWN7" s="20"/>
      <c r="RWO7" s="20"/>
      <c r="RWP7" s="20"/>
      <c r="RWQ7" s="20"/>
      <c r="RWR7" s="20"/>
      <c r="RWS7" s="20"/>
      <c r="RWT7" s="20"/>
      <c r="RWU7" s="20"/>
      <c r="RWV7" s="20"/>
      <c r="RWW7" s="20"/>
      <c r="RWX7" s="20"/>
      <c r="RWY7" s="20"/>
      <c r="RWZ7" s="20"/>
      <c r="RXA7" s="20"/>
      <c r="RXB7" s="20"/>
      <c r="RXC7" s="20"/>
      <c r="RXD7" s="20"/>
      <c r="RXE7" s="20"/>
      <c r="RXF7" s="20"/>
      <c r="RXG7" s="20"/>
      <c r="RXH7" s="20"/>
      <c r="RXI7" s="20"/>
      <c r="RXJ7" s="20"/>
      <c r="RXK7" s="20"/>
      <c r="RXL7" s="20"/>
      <c r="RXM7" s="20"/>
      <c r="RXN7" s="20"/>
      <c r="RXO7" s="20"/>
      <c r="RXP7" s="20"/>
      <c r="RXQ7" s="20"/>
      <c r="RXR7" s="20"/>
      <c r="RXS7" s="20"/>
      <c r="RXT7" s="20"/>
      <c r="RXU7" s="20"/>
      <c r="RXV7" s="20"/>
      <c r="RXW7" s="20"/>
      <c r="RXX7" s="20"/>
      <c r="RXY7" s="20"/>
      <c r="RXZ7" s="20"/>
      <c r="RYA7" s="20"/>
      <c r="RYB7" s="20"/>
      <c r="RYC7" s="20"/>
      <c r="RYD7" s="20"/>
      <c r="RYE7" s="20"/>
      <c r="RYF7" s="20"/>
      <c r="RYG7" s="20"/>
      <c r="RYH7" s="20"/>
      <c r="RYI7" s="20"/>
      <c r="RYJ7" s="20"/>
      <c r="RYK7" s="20"/>
      <c r="RYL7" s="20"/>
      <c r="RYM7" s="20"/>
      <c r="RYN7" s="20"/>
      <c r="RYO7" s="20"/>
      <c r="RYP7" s="20"/>
      <c r="RYQ7" s="20"/>
      <c r="RYR7" s="20"/>
      <c r="RYS7" s="20"/>
      <c r="RYT7" s="20"/>
      <c r="RYU7" s="20"/>
      <c r="RYV7" s="20"/>
      <c r="RYW7" s="20"/>
      <c r="RYX7" s="20"/>
      <c r="RYY7" s="20"/>
      <c r="RYZ7" s="20"/>
      <c r="RZA7" s="20"/>
      <c r="RZB7" s="20"/>
      <c r="RZC7" s="20"/>
      <c r="RZD7" s="20"/>
      <c r="RZE7" s="20"/>
      <c r="RZF7" s="20"/>
      <c r="RZG7" s="20"/>
      <c r="RZH7" s="20"/>
      <c r="RZI7" s="20"/>
      <c r="RZJ7" s="20"/>
      <c r="RZK7" s="20"/>
      <c r="RZL7" s="20"/>
      <c r="RZM7" s="20"/>
      <c r="RZN7" s="20"/>
      <c r="RZO7" s="20"/>
      <c r="RZP7" s="20"/>
      <c r="RZQ7" s="20"/>
      <c r="RZR7" s="20"/>
      <c r="RZS7" s="20"/>
      <c r="RZT7" s="20"/>
      <c r="RZU7" s="20"/>
      <c r="RZV7" s="20"/>
      <c r="RZW7" s="20"/>
      <c r="RZX7" s="20"/>
      <c r="RZY7" s="20"/>
      <c r="RZZ7" s="20"/>
      <c r="SAA7" s="20"/>
      <c r="SAB7" s="20"/>
      <c r="SAC7" s="20"/>
      <c r="SAD7" s="20"/>
      <c r="SAE7" s="20"/>
      <c r="SAF7" s="20"/>
      <c r="SAG7" s="20"/>
      <c r="SAH7" s="20"/>
      <c r="SAI7" s="20"/>
      <c r="SAJ7" s="20"/>
      <c r="SAK7" s="20"/>
      <c r="SAL7" s="20"/>
      <c r="SAM7" s="20"/>
      <c r="SAN7" s="20"/>
      <c r="SAO7" s="20"/>
      <c r="SAP7" s="20"/>
      <c r="SAQ7" s="20"/>
      <c r="SAR7" s="20"/>
      <c r="SAS7" s="20"/>
      <c r="SAT7" s="20"/>
      <c r="SAU7" s="20"/>
      <c r="SAV7" s="20"/>
      <c r="SAW7" s="20"/>
      <c r="SAX7" s="20"/>
      <c r="SAY7" s="20"/>
      <c r="SAZ7" s="20"/>
      <c r="SBA7" s="20"/>
      <c r="SBB7" s="20"/>
      <c r="SBC7" s="20"/>
      <c r="SBD7" s="20"/>
      <c r="SBE7" s="20"/>
      <c r="SBF7" s="20"/>
      <c r="SBG7" s="20"/>
      <c r="SBH7" s="20"/>
      <c r="SBI7" s="20"/>
      <c r="SBJ7" s="20"/>
      <c r="SBK7" s="20"/>
      <c r="SBL7" s="20"/>
      <c r="SBM7" s="20"/>
      <c r="SBN7" s="20"/>
      <c r="SBO7" s="20"/>
      <c r="SBP7" s="20"/>
      <c r="SBQ7" s="20"/>
      <c r="SBR7" s="20"/>
      <c r="SBS7" s="20"/>
      <c r="SBT7" s="20"/>
      <c r="SBU7" s="20"/>
      <c r="SBV7" s="20"/>
      <c r="SBW7" s="20"/>
      <c r="SBX7" s="20"/>
      <c r="SBY7" s="20"/>
      <c r="SBZ7" s="20"/>
      <c r="SCA7" s="20"/>
      <c r="SCB7" s="20"/>
      <c r="SCC7" s="20"/>
      <c r="SCD7" s="20"/>
      <c r="SCE7" s="20"/>
      <c r="SCF7" s="20"/>
      <c r="SCG7" s="20"/>
      <c r="SCH7" s="20"/>
      <c r="SCI7" s="20"/>
      <c r="SCJ7" s="20"/>
      <c r="SCK7" s="20"/>
      <c r="SCL7" s="20"/>
      <c r="SCM7" s="20"/>
      <c r="SCN7" s="20"/>
      <c r="SCO7" s="20"/>
      <c r="SCP7" s="20"/>
      <c r="SCQ7" s="20"/>
      <c r="SCR7" s="20"/>
      <c r="SCS7" s="20"/>
      <c r="SCT7" s="20"/>
      <c r="SCU7" s="20"/>
      <c r="SCV7" s="20"/>
      <c r="SCW7" s="20"/>
      <c r="SCX7" s="20"/>
      <c r="SCY7" s="20"/>
      <c r="SCZ7" s="20"/>
      <c r="SDA7" s="20"/>
      <c r="SDB7" s="20"/>
      <c r="SDC7" s="20"/>
      <c r="SDD7" s="20"/>
      <c r="SDE7" s="20"/>
      <c r="SDF7" s="20"/>
      <c r="SDG7" s="20"/>
      <c r="SDH7" s="20"/>
      <c r="SDI7" s="20"/>
      <c r="SDJ7" s="20"/>
      <c r="SDK7" s="20"/>
      <c r="SDL7" s="20"/>
      <c r="SDM7" s="20"/>
      <c r="SDN7" s="20"/>
      <c r="SDO7" s="20"/>
      <c r="SDP7" s="20"/>
      <c r="SDQ7" s="20"/>
      <c r="SDR7" s="20"/>
      <c r="SDS7" s="20"/>
      <c r="SDT7" s="20"/>
      <c r="SDU7" s="20"/>
      <c r="SDV7" s="20"/>
      <c r="SDW7" s="20"/>
      <c r="SDX7" s="20"/>
      <c r="SDY7" s="20"/>
      <c r="SDZ7" s="20"/>
      <c r="SEA7" s="20"/>
      <c r="SEB7" s="20"/>
      <c r="SEC7" s="20"/>
      <c r="SED7" s="20"/>
      <c r="SEE7" s="20"/>
      <c r="SEF7" s="20"/>
      <c r="SEG7" s="20"/>
      <c r="SEH7" s="20"/>
      <c r="SEI7" s="20"/>
      <c r="SEJ7" s="20"/>
      <c r="SEK7" s="20"/>
      <c r="SEL7" s="20"/>
      <c r="SEM7" s="20"/>
      <c r="SEN7" s="20"/>
      <c r="SEO7" s="20"/>
      <c r="SEP7" s="20"/>
      <c r="SEQ7" s="20"/>
      <c r="SER7" s="20"/>
      <c r="SES7" s="20"/>
      <c r="SET7" s="20"/>
      <c r="SEU7" s="20"/>
      <c r="SEV7" s="20"/>
      <c r="SEW7" s="20"/>
      <c r="SEX7" s="20"/>
      <c r="SEY7" s="20"/>
      <c r="SEZ7" s="20"/>
      <c r="SFA7" s="20"/>
      <c r="SFB7" s="20"/>
      <c r="SFC7" s="20"/>
      <c r="SFD7" s="20"/>
      <c r="SFE7" s="20"/>
      <c r="SFF7" s="20"/>
      <c r="SFG7" s="20"/>
      <c r="SFH7" s="20"/>
      <c r="SFI7" s="20"/>
      <c r="SFJ7" s="20"/>
      <c r="SFK7" s="20"/>
      <c r="SFL7" s="20"/>
      <c r="SFM7" s="20"/>
      <c r="SFN7" s="20"/>
      <c r="SFO7" s="20"/>
      <c r="SFP7" s="20"/>
      <c r="SFQ7" s="20"/>
      <c r="SFR7" s="20"/>
      <c r="SFS7" s="20"/>
      <c r="SFT7" s="20"/>
      <c r="SFU7" s="20"/>
      <c r="SFV7" s="20"/>
      <c r="SFW7" s="20"/>
      <c r="SFX7" s="20"/>
      <c r="SFY7" s="20"/>
      <c r="SFZ7" s="20"/>
      <c r="SGA7" s="20"/>
      <c r="SGB7" s="20"/>
      <c r="SGC7" s="20"/>
      <c r="SGD7" s="20"/>
      <c r="SGE7" s="20"/>
      <c r="SGF7" s="20"/>
      <c r="SGG7" s="20"/>
      <c r="SGH7" s="20"/>
      <c r="SGI7" s="20"/>
      <c r="SGJ7" s="20"/>
      <c r="SGK7" s="20"/>
      <c r="SGL7" s="20"/>
      <c r="SGM7" s="20"/>
      <c r="SGN7" s="20"/>
      <c r="SGO7" s="20"/>
      <c r="SGP7" s="20"/>
      <c r="SGQ7" s="20"/>
      <c r="SGR7" s="20"/>
      <c r="SGS7" s="20"/>
      <c r="SGT7" s="20"/>
      <c r="SGU7" s="20"/>
      <c r="SGV7" s="20"/>
      <c r="SGW7" s="20"/>
      <c r="SGX7" s="20"/>
      <c r="SGY7" s="20"/>
      <c r="SGZ7" s="20"/>
      <c r="SHA7" s="20"/>
      <c r="SHB7" s="20"/>
      <c r="SHC7" s="20"/>
      <c r="SHD7" s="20"/>
      <c r="SHE7" s="20"/>
      <c r="SHF7" s="20"/>
      <c r="SHG7" s="20"/>
      <c r="SHH7" s="20"/>
      <c r="SHI7" s="20"/>
      <c r="SHJ7" s="20"/>
      <c r="SHK7" s="20"/>
      <c r="SHL7" s="20"/>
      <c r="SHM7" s="20"/>
      <c r="SHN7" s="20"/>
      <c r="SHO7" s="20"/>
      <c r="SHP7" s="20"/>
      <c r="SHQ7" s="20"/>
      <c r="SHR7" s="20"/>
      <c r="SHS7" s="20"/>
      <c r="SHT7" s="20"/>
      <c r="SHU7" s="20"/>
      <c r="SHV7" s="20"/>
      <c r="SHW7" s="20"/>
      <c r="SHX7" s="20"/>
      <c r="SHY7" s="20"/>
      <c r="SHZ7" s="20"/>
      <c r="SIA7" s="20"/>
      <c r="SIB7" s="20"/>
      <c r="SIC7" s="20"/>
      <c r="SID7" s="20"/>
      <c r="SIE7" s="20"/>
      <c r="SIF7" s="20"/>
      <c r="SIG7" s="20"/>
      <c r="SIH7" s="20"/>
      <c r="SII7" s="20"/>
      <c r="SIJ7" s="20"/>
      <c r="SIK7" s="20"/>
      <c r="SIL7" s="20"/>
      <c r="SIM7" s="20"/>
      <c r="SIN7" s="20"/>
      <c r="SIO7" s="20"/>
      <c r="SIP7" s="20"/>
      <c r="SIQ7" s="20"/>
      <c r="SIR7" s="20"/>
      <c r="SIS7" s="20"/>
      <c r="SIT7" s="20"/>
      <c r="SIU7" s="20"/>
      <c r="SIV7" s="20"/>
      <c r="SIW7" s="20"/>
      <c r="SIX7" s="20"/>
      <c r="SIY7" s="20"/>
      <c r="SIZ7" s="20"/>
      <c r="SJA7" s="20"/>
      <c r="SJB7" s="20"/>
      <c r="SJC7" s="20"/>
      <c r="SJD7" s="20"/>
      <c r="SJE7" s="20"/>
      <c r="SJF7" s="20"/>
      <c r="SJG7" s="20"/>
      <c r="SJH7" s="20"/>
      <c r="SJI7" s="20"/>
      <c r="SJJ7" s="20"/>
      <c r="SJK7" s="20"/>
      <c r="SJL7" s="20"/>
      <c r="SJM7" s="20"/>
      <c r="SJN7" s="20"/>
      <c r="SJO7" s="20"/>
      <c r="SJP7" s="20"/>
      <c r="SJQ7" s="20"/>
      <c r="SJR7" s="20"/>
      <c r="SJS7" s="20"/>
      <c r="SJT7" s="20"/>
      <c r="SJU7" s="20"/>
      <c r="SJV7" s="20"/>
      <c r="SJW7" s="20"/>
      <c r="SJX7" s="20"/>
      <c r="SJY7" s="20"/>
      <c r="SJZ7" s="20"/>
      <c r="SKA7" s="20"/>
      <c r="SKB7" s="20"/>
      <c r="SKC7" s="20"/>
      <c r="SKD7" s="20"/>
      <c r="SKE7" s="20"/>
      <c r="SKF7" s="20"/>
      <c r="SKG7" s="20"/>
      <c r="SKH7" s="20"/>
      <c r="SKI7" s="20"/>
      <c r="SKJ7" s="20"/>
      <c r="SKK7" s="20"/>
      <c r="SKL7" s="20"/>
      <c r="SKM7" s="20"/>
      <c r="SKN7" s="20"/>
      <c r="SKO7" s="20"/>
      <c r="SKP7" s="20"/>
      <c r="SKQ7" s="20"/>
      <c r="SKR7" s="20"/>
      <c r="SKS7" s="20"/>
      <c r="SKT7" s="20"/>
      <c r="SKU7" s="20"/>
      <c r="SKV7" s="20"/>
      <c r="SKW7" s="20"/>
      <c r="SKX7" s="20"/>
      <c r="SKY7" s="20"/>
      <c r="SKZ7" s="20"/>
      <c r="SLA7" s="20"/>
      <c r="SLB7" s="20"/>
      <c r="SLC7" s="20"/>
      <c r="SLD7" s="20"/>
      <c r="SLE7" s="20"/>
      <c r="SLF7" s="20"/>
      <c r="SLG7" s="20"/>
      <c r="SLH7" s="20"/>
      <c r="SLI7" s="20"/>
      <c r="SLJ7" s="20"/>
      <c r="SLK7" s="20"/>
      <c r="SLL7" s="20"/>
      <c r="SLM7" s="20"/>
      <c r="SLN7" s="20"/>
      <c r="SLO7" s="20"/>
      <c r="SLP7" s="20"/>
      <c r="SLQ7" s="20"/>
      <c r="SLR7" s="20"/>
      <c r="SLS7" s="20"/>
      <c r="SLT7" s="20"/>
      <c r="SLU7" s="20"/>
      <c r="SLV7" s="20"/>
      <c r="SLW7" s="20"/>
      <c r="SLX7" s="20"/>
      <c r="SLY7" s="20"/>
      <c r="SLZ7" s="20"/>
      <c r="SMA7" s="20"/>
      <c r="SMB7" s="20"/>
      <c r="SMC7" s="20"/>
      <c r="SMD7" s="20"/>
      <c r="SME7" s="20"/>
      <c r="SMF7" s="20"/>
      <c r="SMG7" s="20"/>
      <c r="SMH7" s="20"/>
      <c r="SMI7" s="20"/>
      <c r="SMJ7" s="20"/>
      <c r="SMK7" s="20"/>
      <c r="SML7" s="20"/>
      <c r="SMM7" s="20"/>
      <c r="SMN7" s="20"/>
      <c r="SMO7" s="20"/>
      <c r="SMP7" s="20"/>
      <c r="SMQ7" s="20"/>
      <c r="SMR7" s="20"/>
      <c r="SMS7" s="20"/>
      <c r="SMT7" s="20"/>
      <c r="SMU7" s="20"/>
      <c r="SMV7" s="20"/>
      <c r="SMW7" s="20"/>
      <c r="SMX7" s="20"/>
      <c r="SMY7" s="20"/>
      <c r="SMZ7" s="20"/>
      <c r="SNA7" s="20"/>
      <c r="SNB7" s="20"/>
      <c r="SNC7" s="20"/>
      <c r="SND7" s="20"/>
      <c r="SNE7" s="20"/>
      <c r="SNF7" s="20"/>
      <c r="SNG7" s="20"/>
      <c r="SNH7" s="20"/>
      <c r="SNI7" s="20"/>
      <c r="SNJ7" s="20"/>
      <c r="SNK7" s="20"/>
      <c r="SNL7" s="20"/>
      <c r="SNM7" s="20"/>
      <c r="SNN7" s="20"/>
      <c r="SNO7" s="20"/>
      <c r="SNP7" s="20"/>
      <c r="SNQ7" s="20"/>
      <c r="SNR7" s="20"/>
      <c r="SNS7" s="20"/>
      <c r="SNT7" s="20"/>
      <c r="SNU7" s="20"/>
      <c r="SNV7" s="20"/>
      <c r="SNW7" s="20"/>
      <c r="SNX7" s="20"/>
      <c r="SNY7" s="20"/>
      <c r="SNZ7" s="20"/>
      <c r="SOA7" s="20"/>
      <c r="SOB7" s="20"/>
      <c r="SOC7" s="20"/>
      <c r="SOD7" s="20"/>
      <c r="SOE7" s="20"/>
      <c r="SOF7" s="20"/>
      <c r="SOG7" s="20"/>
      <c r="SOH7" s="20"/>
      <c r="SOI7" s="20"/>
      <c r="SOJ7" s="20"/>
      <c r="SOK7" s="20"/>
      <c r="SOL7" s="20"/>
      <c r="SOM7" s="20"/>
      <c r="SON7" s="20"/>
      <c r="SOO7" s="20"/>
      <c r="SOP7" s="20"/>
      <c r="SOQ7" s="20"/>
      <c r="SOR7" s="20"/>
      <c r="SOS7" s="20"/>
      <c r="SOT7" s="20"/>
      <c r="SOU7" s="20"/>
      <c r="SOV7" s="20"/>
      <c r="SOW7" s="20"/>
      <c r="SOX7" s="20"/>
      <c r="SOY7" s="20"/>
      <c r="SOZ7" s="20"/>
      <c r="SPA7" s="20"/>
      <c r="SPB7" s="20"/>
      <c r="SPC7" s="20"/>
      <c r="SPD7" s="20"/>
      <c r="SPE7" s="20"/>
      <c r="SPF7" s="20"/>
      <c r="SPG7" s="20"/>
      <c r="SPH7" s="20"/>
      <c r="SPI7" s="20"/>
      <c r="SPJ7" s="20"/>
      <c r="SPK7" s="20"/>
      <c r="SPL7" s="20"/>
      <c r="SPM7" s="20"/>
      <c r="SPN7" s="20"/>
      <c r="SPO7" s="20"/>
      <c r="SPP7" s="20"/>
      <c r="SPQ7" s="20"/>
      <c r="SPR7" s="20"/>
      <c r="SPS7" s="20"/>
      <c r="SPT7" s="20"/>
      <c r="SPU7" s="20"/>
      <c r="SPV7" s="20"/>
      <c r="SPW7" s="20"/>
      <c r="SPX7" s="20"/>
      <c r="SPY7" s="20"/>
      <c r="SPZ7" s="20"/>
      <c r="SQA7" s="20"/>
      <c r="SQB7" s="20"/>
      <c r="SQC7" s="20"/>
      <c r="SQD7" s="20"/>
      <c r="SQE7" s="20"/>
      <c r="SQF7" s="20"/>
      <c r="SQG7" s="20"/>
      <c r="SQH7" s="20"/>
      <c r="SQI7" s="20"/>
      <c r="SQJ7" s="20"/>
      <c r="SQK7" s="20"/>
      <c r="SQL7" s="20"/>
      <c r="SQM7" s="20"/>
      <c r="SQN7" s="20"/>
      <c r="SQO7" s="20"/>
      <c r="SQP7" s="20"/>
      <c r="SQQ7" s="20"/>
      <c r="SQR7" s="20"/>
      <c r="SQS7" s="20"/>
      <c r="SQT7" s="20"/>
      <c r="SQU7" s="20"/>
      <c r="SQV7" s="20"/>
      <c r="SQW7" s="20"/>
      <c r="SQX7" s="20"/>
      <c r="SQY7" s="20"/>
      <c r="SQZ7" s="20"/>
      <c r="SRA7" s="20"/>
      <c r="SRB7" s="20"/>
      <c r="SRC7" s="20"/>
      <c r="SRD7" s="20"/>
      <c r="SRE7" s="20"/>
      <c r="SRF7" s="20"/>
      <c r="SRG7" s="20"/>
      <c r="SRH7" s="20"/>
      <c r="SRI7" s="20"/>
      <c r="SRJ7" s="20"/>
      <c r="SRK7" s="20"/>
      <c r="SRL7" s="20"/>
      <c r="SRM7" s="20"/>
      <c r="SRN7" s="20"/>
      <c r="SRO7" s="20"/>
      <c r="SRP7" s="20"/>
      <c r="SRQ7" s="20"/>
      <c r="SRR7" s="20"/>
      <c r="SRS7" s="20"/>
      <c r="SRT7" s="20"/>
      <c r="SRU7" s="20"/>
      <c r="SRV7" s="20"/>
      <c r="SRW7" s="20"/>
      <c r="SRX7" s="20"/>
      <c r="SRY7" s="20"/>
      <c r="SRZ7" s="20"/>
      <c r="SSA7" s="20"/>
      <c r="SSB7" s="20"/>
      <c r="SSC7" s="20"/>
      <c r="SSD7" s="20"/>
      <c r="SSE7" s="20"/>
      <c r="SSF7" s="20"/>
      <c r="SSG7" s="20"/>
      <c r="SSH7" s="20"/>
      <c r="SSI7" s="20"/>
      <c r="SSJ7" s="20"/>
      <c r="SSK7" s="20"/>
      <c r="SSL7" s="20"/>
      <c r="SSM7" s="20"/>
      <c r="SSN7" s="20"/>
      <c r="SSO7" s="20"/>
      <c r="SSP7" s="20"/>
      <c r="SSQ7" s="20"/>
      <c r="SSR7" s="20"/>
      <c r="SSS7" s="20"/>
      <c r="SST7" s="20"/>
      <c r="SSU7" s="20"/>
      <c r="SSV7" s="20"/>
      <c r="SSW7" s="20"/>
      <c r="SSX7" s="20"/>
      <c r="SSY7" s="20"/>
      <c r="SSZ7" s="20"/>
      <c r="STA7" s="20"/>
      <c r="STB7" s="20"/>
      <c r="STC7" s="20"/>
      <c r="STD7" s="20"/>
      <c r="STE7" s="20"/>
      <c r="STF7" s="20"/>
      <c r="STG7" s="20"/>
      <c r="STH7" s="20"/>
      <c r="STI7" s="20"/>
      <c r="STJ7" s="20"/>
      <c r="STK7" s="20"/>
      <c r="STL7" s="20"/>
      <c r="STM7" s="20"/>
      <c r="STN7" s="20"/>
      <c r="STO7" s="20"/>
      <c r="STP7" s="20"/>
      <c r="STQ7" s="20"/>
      <c r="STR7" s="20"/>
      <c r="STS7" s="20"/>
      <c r="STT7" s="20"/>
      <c r="STU7" s="20"/>
      <c r="STV7" s="20"/>
      <c r="STW7" s="20"/>
      <c r="STX7" s="20"/>
      <c r="STY7" s="20"/>
      <c r="STZ7" s="20"/>
      <c r="SUA7" s="20"/>
      <c r="SUB7" s="20"/>
      <c r="SUC7" s="20"/>
      <c r="SUD7" s="20"/>
      <c r="SUE7" s="20"/>
      <c r="SUF7" s="20"/>
      <c r="SUG7" s="20"/>
      <c r="SUH7" s="20"/>
      <c r="SUI7" s="20"/>
      <c r="SUJ7" s="20"/>
      <c r="SUK7" s="20"/>
      <c r="SUL7" s="20"/>
      <c r="SUM7" s="20"/>
      <c r="SUN7" s="20"/>
      <c r="SUO7" s="20"/>
      <c r="SUP7" s="20"/>
      <c r="SUQ7" s="20"/>
      <c r="SUR7" s="20"/>
      <c r="SUS7" s="20"/>
      <c r="SUT7" s="20"/>
      <c r="SUU7" s="20"/>
      <c r="SUV7" s="20"/>
      <c r="SUW7" s="20"/>
      <c r="SUX7" s="20"/>
      <c r="SUY7" s="20"/>
      <c r="SUZ7" s="20"/>
      <c r="SVA7" s="20"/>
      <c r="SVB7" s="20"/>
      <c r="SVC7" s="20"/>
      <c r="SVD7" s="20"/>
      <c r="SVE7" s="20"/>
      <c r="SVF7" s="20"/>
      <c r="SVG7" s="20"/>
      <c r="SVH7" s="20"/>
      <c r="SVI7" s="20"/>
      <c r="SVJ7" s="20"/>
      <c r="SVK7" s="20"/>
      <c r="SVL7" s="20"/>
      <c r="SVM7" s="20"/>
      <c r="SVN7" s="20"/>
      <c r="SVO7" s="20"/>
      <c r="SVP7" s="20"/>
      <c r="SVQ7" s="20"/>
      <c r="SVR7" s="20"/>
      <c r="SVS7" s="20"/>
      <c r="SVT7" s="20"/>
      <c r="SVU7" s="20"/>
      <c r="SVV7" s="20"/>
      <c r="SVW7" s="20"/>
      <c r="SVX7" s="20"/>
      <c r="SVY7" s="20"/>
      <c r="SVZ7" s="20"/>
      <c r="SWA7" s="20"/>
      <c r="SWB7" s="20"/>
      <c r="SWC7" s="20"/>
      <c r="SWD7" s="20"/>
      <c r="SWE7" s="20"/>
      <c r="SWF7" s="20"/>
      <c r="SWG7" s="20"/>
      <c r="SWH7" s="20"/>
      <c r="SWI7" s="20"/>
      <c r="SWJ7" s="20"/>
      <c r="SWK7" s="20"/>
      <c r="SWL7" s="20"/>
      <c r="SWM7" s="20"/>
      <c r="SWN7" s="20"/>
      <c r="SWO7" s="20"/>
      <c r="SWP7" s="20"/>
      <c r="SWQ7" s="20"/>
      <c r="SWR7" s="20"/>
      <c r="SWS7" s="20"/>
      <c r="SWT7" s="20"/>
      <c r="SWU7" s="20"/>
      <c r="SWV7" s="20"/>
      <c r="SWW7" s="20"/>
      <c r="SWX7" s="20"/>
      <c r="SWY7" s="20"/>
      <c r="SWZ7" s="20"/>
      <c r="SXA7" s="20"/>
      <c r="SXB7" s="20"/>
      <c r="SXC7" s="20"/>
      <c r="SXD7" s="20"/>
      <c r="SXE7" s="20"/>
      <c r="SXF7" s="20"/>
      <c r="SXG7" s="20"/>
      <c r="SXH7" s="20"/>
      <c r="SXI7" s="20"/>
      <c r="SXJ7" s="20"/>
      <c r="SXK7" s="20"/>
      <c r="SXL7" s="20"/>
      <c r="SXM7" s="20"/>
      <c r="SXN7" s="20"/>
      <c r="SXO7" s="20"/>
      <c r="SXP7" s="20"/>
      <c r="SXQ7" s="20"/>
      <c r="SXR7" s="20"/>
      <c r="SXS7" s="20"/>
      <c r="SXT7" s="20"/>
      <c r="SXU7" s="20"/>
      <c r="SXV7" s="20"/>
      <c r="SXW7" s="20"/>
      <c r="SXX7" s="20"/>
      <c r="SXY7" s="20"/>
      <c r="SXZ7" s="20"/>
      <c r="SYA7" s="20"/>
      <c r="SYB7" s="20"/>
      <c r="SYC7" s="20"/>
      <c r="SYD7" s="20"/>
      <c r="SYE7" s="20"/>
      <c r="SYF7" s="20"/>
      <c r="SYG7" s="20"/>
      <c r="SYH7" s="20"/>
      <c r="SYI7" s="20"/>
      <c r="SYJ7" s="20"/>
      <c r="SYK7" s="20"/>
      <c r="SYL7" s="20"/>
      <c r="SYM7" s="20"/>
      <c r="SYN7" s="20"/>
      <c r="SYO7" s="20"/>
      <c r="SYP7" s="20"/>
      <c r="SYQ7" s="20"/>
      <c r="SYR7" s="20"/>
      <c r="SYS7" s="20"/>
      <c r="SYT7" s="20"/>
      <c r="SYU7" s="20"/>
      <c r="SYV7" s="20"/>
      <c r="SYW7" s="20"/>
      <c r="SYX7" s="20"/>
      <c r="SYY7" s="20"/>
      <c r="SYZ7" s="20"/>
      <c r="SZA7" s="20"/>
      <c r="SZB7" s="20"/>
      <c r="SZC7" s="20"/>
      <c r="SZD7" s="20"/>
      <c r="SZE7" s="20"/>
      <c r="SZF7" s="20"/>
      <c r="SZG7" s="20"/>
      <c r="SZH7" s="20"/>
      <c r="SZI7" s="20"/>
      <c r="SZJ7" s="20"/>
      <c r="SZK7" s="20"/>
      <c r="SZL7" s="20"/>
      <c r="SZM7" s="20"/>
      <c r="SZN7" s="20"/>
      <c r="SZO7" s="20"/>
      <c r="SZP7" s="20"/>
      <c r="SZQ7" s="20"/>
      <c r="SZR7" s="20"/>
      <c r="SZS7" s="20"/>
      <c r="SZT7" s="20"/>
      <c r="SZU7" s="20"/>
      <c r="SZV7" s="20"/>
      <c r="SZW7" s="20"/>
      <c r="SZX7" s="20"/>
      <c r="SZY7" s="20"/>
      <c r="SZZ7" s="20"/>
      <c r="TAA7" s="20"/>
      <c r="TAB7" s="20"/>
      <c r="TAC7" s="20"/>
      <c r="TAD7" s="20"/>
      <c r="TAE7" s="20"/>
      <c r="TAF7" s="20"/>
      <c r="TAG7" s="20"/>
      <c r="TAH7" s="20"/>
      <c r="TAI7" s="20"/>
      <c r="TAJ7" s="20"/>
      <c r="TAK7" s="20"/>
      <c r="TAL7" s="20"/>
      <c r="TAM7" s="20"/>
      <c r="TAN7" s="20"/>
      <c r="TAO7" s="20"/>
      <c r="TAP7" s="20"/>
      <c r="TAQ7" s="20"/>
      <c r="TAR7" s="20"/>
      <c r="TAS7" s="20"/>
      <c r="TAT7" s="20"/>
      <c r="TAU7" s="20"/>
      <c r="TAV7" s="20"/>
      <c r="TAW7" s="20"/>
      <c r="TAX7" s="20"/>
      <c r="TAY7" s="20"/>
      <c r="TAZ7" s="20"/>
      <c r="TBA7" s="20"/>
      <c r="TBB7" s="20"/>
      <c r="TBC7" s="20"/>
      <c r="TBD7" s="20"/>
      <c r="TBE7" s="20"/>
      <c r="TBF7" s="20"/>
      <c r="TBG7" s="20"/>
      <c r="TBH7" s="20"/>
      <c r="TBI7" s="20"/>
      <c r="TBJ7" s="20"/>
      <c r="TBK7" s="20"/>
      <c r="TBL7" s="20"/>
      <c r="TBM7" s="20"/>
      <c r="TBN7" s="20"/>
      <c r="TBO7" s="20"/>
      <c r="TBP7" s="20"/>
      <c r="TBQ7" s="20"/>
      <c r="TBR7" s="20"/>
      <c r="TBS7" s="20"/>
      <c r="TBT7" s="20"/>
      <c r="TBU7" s="20"/>
      <c r="TBV7" s="20"/>
      <c r="TBW7" s="20"/>
      <c r="TBX7" s="20"/>
      <c r="TBY7" s="20"/>
      <c r="TBZ7" s="20"/>
      <c r="TCA7" s="20"/>
      <c r="TCB7" s="20"/>
      <c r="TCC7" s="20"/>
      <c r="TCD7" s="20"/>
      <c r="TCE7" s="20"/>
      <c r="TCF7" s="20"/>
      <c r="TCG7" s="20"/>
      <c r="TCH7" s="20"/>
      <c r="TCI7" s="20"/>
      <c r="TCJ7" s="20"/>
      <c r="TCK7" s="20"/>
      <c r="TCL7" s="20"/>
      <c r="TCM7" s="20"/>
      <c r="TCN7" s="20"/>
      <c r="TCO7" s="20"/>
      <c r="TCP7" s="20"/>
      <c r="TCQ7" s="20"/>
      <c r="TCR7" s="20"/>
      <c r="TCS7" s="20"/>
      <c r="TCT7" s="20"/>
      <c r="TCU7" s="20"/>
      <c r="TCV7" s="20"/>
      <c r="TCW7" s="20"/>
      <c r="TCX7" s="20"/>
      <c r="TCY7" s="20"/>
      <c r="TCZ7" s="20"/>
      <c r="TDA7" s="20"/>
      <c r="TDB7" s="20"/>
      <c r="TDC7" s="20"/>
      <c r="TDD7" s="20"/>
      <c r="TDE7" s="20"/>
      <c r="TDF7" s="20"/>
      <c r="TDG7" s="20"/>
      <c r="TDH7" s="20"/>
      <c r="TDI7" s="20"/>
      <c r="TDJ7" s="20"/>
      <c r="TDK7" s="20"/>
      <c r="TDL7" s="20"/>
      <c r="TDM7" s="20"/>
      <c r="TDN7" s="20"/>
      <c r="TDO7" s="20"/>
      <c r="TDP7" s="20"/>
      <c r="TDQ7" s="20"/>
      <c r="TDR7" s="20"/>
      <c r="TDS7" s="20"/>
      <c r="TDT7" s="20"/>
      <c r="TDU7" s="20"/>
      <c r="TDV7" s="20"/>
      <c r="TDW7" s="20"/>
      <c r="TDX7" s="20"/>
      <c r="TDY7" s="20"/>
      <c r="TDZ7" s="20"/>
      <c r="TEA7" s="20"/>
      <c r="TEB7" s="20"/>
      <c r="TEC7" s="20"/>
      <c r="TED7" s="20"/>
      <c r="TEE7" s="20"/>
      <c r="TEF7" s="20"/>
      <c r="TEG7" s="20"/>
      <c r="TEH7" s="20"/>
      <c r="TEI7" s="20"/>
      <c r="TEJ7" s="20"/>
      <c r="TEK7" s="20"/>
      <c r="TEL7" s="20"/>
      <c r="TEM7" s="20"/>
      <c r="TEN7" s="20"/>
      <c r="TEO7" s="20"/>
      <c r="TEP7" s="20"/>
      <c r="TEQ7" s="20"/>
      <c r="TER7" s="20"/>
      <c r="TES7" s="20"/>
      <c r="TET7" s="20"/>
      <c r="TEU7" s="20"/>
      <c r="TEV7" s="20"/>
      <c r="TEW7" s="20"/>
      <c r="TEX7" s="20"/>
      <c r="TEY7" s="20"/>
      <c r="TEZ7" s="20"/>
      <c r="TFA7" s="20"/>
      <c r="TFB7" s="20"/>
      <c r="TFC7" s="20"/>
      <c r="TFD7" s="20"/>
      <c r="TFE7" s="20"/>
      <c r="TFF7" s="20"/>
      <c r="TFG7" s="20"/>
      <c r="TFH7" s="20"/>
      <c r="TFI7" s="20"/>
      <c r="TFJ7" s="20"/>
      <c r="TFK7" s="20"/>
      <c r="TFL7" s="20"/>
      <c r="TFM7" s="20"/>
      <c r="TFN7" s="20"/>
      <c r="TFO7" s="20"/>
      <c r="TFP7" s="20"/>
      <c r="TFQ7" s="20"/>
      <c r="TFR7" s="20"/>
      <c r="TFS7" s="20"/>
      <c r="TFT7" s="20"/>
      <c r="TFU7" s="20"/>
      <c r="TFV7" s="20"/>
      <c r="TFW7" s="20"/>
      <c r="TFX7" s="20"/>
      <c r="TFY7" s="20"/>
      <c r="TFZ7" s="20"/>
      <c r="TGA7" s="20"/>
      <c r="TGB7" s="20"/>
      <c r="TGC7" s="20"/>
      <c r="TGD7" s="20"/>
      <c r="TGE7" s="20"/>
      <c r="TGF7" s="20"/>
      <c r="TGG7" s="20"/>
      <c r="TGH7" s="20"/>
      <c r="TGI7" s="20"/>
      <c r="TGJ7" s="20"/>
      <c r="TGK7" s="20"/>
      <c r="TGL7" s="20"/>
      <c r="TGM7" s="20"/>
      <c r="TGN7" s="20"/>
      <c r="TGO7" s="20"/>
      <c r="TGP7" s="20"/>
      <c r="TGQ7" s="20"/>
      <c r="TGR7" s="20"/>
      <c r="TGS7" s="20"/>
      <c r="TGT7" s="20"/>
      <c r="TGU7" s="20"/>
      <c r="TGV7" s="20"/>
      <c r="TGW7" s="20"/>
      <c r="TGX7" s="20"/>
      <c r="TGY7" s="20"/>
      <c r="TGZ7" s="20"/>
      <c r="THA7" s="20"/>
      <c r="THB7" s="20"/>
      <c r="THC7" s="20"/>
      <c r="THD7" s="20"/>
      <c r="THE7" s="20"/>
      <c r="THF7" s="20"/>
      <c r="THG7" s="20"/>
      <c r="THH7" s="20"/>
      <c r="THI7" s="20"/>
      <c r="THJ7" s="20"/>
      <c r="THK7" s="20"/>
      <c r="THL7" s="20"/>
      <c r="THM7" s="20"/>
      <c r="THN7" s="20"/>
      <c r="THO7" s="20"/>
      <c r="THP7" s="20"/>
      <c r="THQ7" s="20"/>
      <c r="THR7" s="20"/>
      <c r="THS7" s="20"/>
      <c r="THT7" s="20"/>
      <c r="THU7" s="20"/>
      <c r="THV7" s="20"/>
      <c r="THW7" s="20"/>
      <c r="THX7" s="20"/>
      <c r="THY7" s="20"/>
      <c r="THZ7" s="20"/>
      <c r="TIA7" s="20"/>
      <c r="TIB7" s="20"/>
      <c r="TIC7" s="20"/>
      <c r="TID7" s="20"/>
      <c r="TIE7" s="20"/>
      <c r="TIF7" s="20"/>
      <c r="TIG7" s="20"/>
      <c r="TIH7" s="20"/>
      <c r="TII7" s="20"/>
      <c r="TIJ7" s="20"/>
      <c r="TIK7" s="20"/>
      <c r="TIL7" s="20"/>
      <c r="TIM7" s="20"/>
      <c r="TIN7" s="20"/>
      <c r="TIO7" s="20"/>
      <c r="TIP7" s="20"/>
      <c r="TIQ7" s="20"/>
      <c r="TIR7" s="20"/>
      <c r="TIS7" s="20"/>
      <c r="TIT7" s="20"/>
      <c r="TIU7" s="20"/>
      <c r="TIV7" s="20"/>
      <c r="TIW7" s="20"/>
      <c r="TIX7" s="20"/>
      <c r="TIY7" s="20"/>
      <c r="TIZ7" s="20"/>
      <c r="TJA7" s="20"/>
      <c r="TJB7" s="20"/>
      <c r="TJC7" s="20"/>
      <c r="TJD7" s="20"/>
      <c r="TJE7" s="20"/>
      <c r="TJF7" s="20"/>
      <c r="TJG7" s="20"/>
      <c r="TJH7" s="20"/>
      <c r="TJI7" s="20"/>
      <c r="TJJ7" s="20"/>
      <c r="TJK7" s="20"/>
      <c r="TJL7" s="20"/>
      <c r="TJM7" s="20"/>
      <c r="TJN7" s="20"/>
      <c r="TJO7" s="20"/>
      <c r="TJP7" s="20"/>
      <c r="TJQ7" s="20"/>
      <c r="TJR7" s="20"/>
      <c r="TJS7" s="20"/>
      <c r="TJT7" s="20"/>
      <c r="TJU7" s="20"/>
      <c r="TJV7" s="20"/>
      <c r="TJW7" s="20"/>
      <c r="TJX7" s="20"/>
      <c r="TJY7" s="20"/>
      <c r="TJZ7" s="20"/>
      <c r="TKA7" s="20"/>
      <c r="TKB7" s="20"/>
      <c r="TKC7" s="20"/>
      <c r="TKD7" s="20"/>
      <c r="TKE7" s="20"/>
      <c r="TKF7" s="20"/>
      <c r="TKG7" s="20"/>
      <c r="TKH7" s="20"/>
      <c r="TKI7" s="20"/>
      <c r="TKJ7" s="20"/>
      <c r="TKK7" s="20"/>
      <c r="TKL7" s="20"/>
      <c r="TKM7" s="20"/>
      <c r="TKN7" s="20"/>
      <c r="TKO7" s="20"/>
      <c r="TKP7" s="20"/>
      <c r="TKQ7" s="20"/>
      <c r="TKR7" s="20"/>
      <c r="TKS7" s="20"/>
      <c r="TKT7" s="20"/>
      <c r="TKU7" s="20"/>
      <c r="TKV7" s="20"/>
      <c r="TKW7" s="20"/>
      <c r="TKX7" s="20"/>
      <c r="TKY7" s="20"/>
      <c r="TKZ7" s="20"/>
      <c r="TLA7" s="20"/>
      <c r="TLB7" s="20"/>
      <c r="TLC7" s="20"/>
      <c r="TLD7" s="20"/>
      <c r="TLE7" s="20"/>
      <c r="TLF7" s="20"/>
      <c r="TLG7" s="20"/>
      <c r="TLH7" s="20"/>
      <c r="TLI7" s="20"/>
      <c r="TLJ7" s="20"/>
      <c r="TLK7" s="20"/>
      <c r="TLL7" s="20"/>
      <c r="TLM7" s="20"/>
      <c r="TLN7" s="20"/>
      <c r="TLO7" s="20"/>
      <c r="TLP7" s="20"/>
      <c r="TLQ7" s="20"/>
      <c r="TLR7" s="20"/>
      <c r="TLS7" s="20"/>
      <c r="TLT7" s="20"/>
      <c r="TLU7" s="20"/>
      <c r="TLV7" s="20"/>
      <c r="TLW7" s="20"/>
      <c r="TLX7" s="20"/>
      <c r="TLY7" s="20"/>
      <c r="TLZ7" s="20"/>
      <c r="TMA7" s="20"/>
      <c r="TMB7" s="20"/>
      <c r="TMC7" s="20"/>
      <c r="TMD7" s="20"/>
      <c r="TME7" s="20"/>
      <c r="TMF7" s="20"/>
      <c r="TMG7" s="20"/>
      <c r="TMH7" s="20"/>
      <c r="TMI7" s="20"/>
      <c r="TMJ7" s="20"/>
      <c r="TMK7" s="20"/>
      <c r="TML7" s="20"/>
      <c r="TMM7" s="20"/>
      <c r="TMN7" s="20"/>
      <c r="TMO7" s="20"/>
      <c r="TMP7" s="20"/>
      <c r="TMQ7" s="20"/>
      <c r="TMR7" s="20"/>
      <c r="TMS7" s="20"/>
      <c r="TMT7" s="20"/>
      <c r="TMU7" s="20"/>
      <c r="TMV7" s="20"/>
      <c r="TMW7" s="20"/>
      <c r="TMX7" s="20"/>
      <c r="TMY7" s="20"/>
      <c r="TMZ7" s="20"/>
      <c r="TNA7" s="20"/>
      <c r="TNB7" s="20"/>
      <c r="TNC7" s="20"/>
      <c r="TND7" s="20"/>
      <c r="TNE7" s="20"/>
      <c r="TNF7" s="20"/>
      <c r="TNG7" s="20"/>
      <c r="TNH7" s="20"/>
      <c r="TNI7" s="20"/>
      <c r="TNJ7" s="20"/>
      <c r="TNK7" s="20"/>
      <c r="TNL7" s="20"/>
      <c r="TNM7" s="20"/>
      <c r="TNN7" s="20"/>
      <c r="TNO7" s="20"/>
      <c r="TNP7" s="20"/>
      <c r="TNQ7" s="20"/>
      <c r="TNR7" s="20"/>
      <c r="TNS7" s="20"/>
      <c r="TNT7" s="20"/>
      <c r="TNU7" s="20"/>
      <c r="TNV7" s="20"/>
      <c r="TNW7" s="20"/>
      <c r="TNX7" s="20"/>
      <c r="TNY7" s="20"/>
      <c r="TNZ7" s="20"/>
      <c r="TOA7" s="20"/>
      <c r="TOB7" s="20"/>
      <c r="TOC7" s="20"/>
      <c r="TOD7" s="20"/>
      <c r="TOE7" s="20"/>
      <c r="TOF7" s="20"/>
      <c r="TOG7" s="20"/>
      <c r="TOH7" s="20"/>
      <c r="TOI7" s="20"/>
      <c r="TOJ7" s="20"/>
      <c r="TOK7" s="20"/>
      <c r="TOL7" s="20"/>
      <c r="TOM7" s="20"/>
      <c r="TON7" s="20"/>
      <c r="TOO7" s="20"/>
      <c r="TOP7" s="20"/>
      <c r="TOQ7" s="20"/>
      <c r="TOR7" s="20"/>
      <c r="TOS7" s="20"/>
      <c r="TOT7" s="20"/>
      <c r="TOU7" s="20"/>
      <c r="TOV7" s="20"/>
      <c r="TOW7" s="20"/>
      <c r="TOX7" s="20"/>
      <c r="TOY7" s="20"/>
      <c r="TOZ7" s="20"/>
      <c r="TPA7" s="20"/>
      <c r="TPB7" s="20"/>
      <c r="TPC7" s="20"/>
      <c r="TPD7" s="20"/>
      <c r="TPE7" s="20"/>
      <c r="TPF7" s="20"/>
      <c r="TPG7" s="20"/>
      <c r="TPH7" s="20"/>
      <c r="TPI7" s="20"/>
      <c r="TPJ7" s="20"/>
      <c r="TPK7" s="20"/>
      <c r="TPL7" s="20"/>
      <c r="TPM7" s="20"/>
      <c r="TPN7" s="20"/>
      <c r="TPO7" s="20"/>
      <c r="TPP7" s="20"/>
      <c r="TPQ7" s="20"/>
      <c r="TPR7" s="20"/>
      <c r="TPS7" s="20"/>
      <c r="TPT7" s="20"/>
      <c r="TPU7" s="20"/>
      <c r="TPV7" s="20"/>
      <c r="TPW7" s="20"/>
      <c r="TPX7" s="20"/>
      <c r="TPY7" s="20"/>
      <c r="TPZ7" s="20"/>
      <c r="TQA7" s="20"/>
      <c r="TQB7" s="20"/>
      <c r="TQC7" s="20"/>
      <c r="TQD7" s="20"/>
      <c r="TQE7" s="20"/>
      <c r="TQF7" s="20"/>
      <c r="TQG7" s="20"/>
      <c r="TQH7" s="20"/>
      <c r="TQI7" s="20"/>
      <c r="TQJ7" s="20"/>
      <c r="TQK7" s="20"/>
      <c r="TQL7" s="20"/>
      <c r="TQM7" s="20"/>
      <c r="TQN7" s="20"/>
      <c r="TQO7" s="20"/>
      <c r="TQP7" s="20"/>
      <c r="TQQ7" s="20"/>
      <c r="TQR7" s="20"/>
      <c r="TQS7" s="20"/>
      <c r="TQT7" s="20"/>
      <c r="TQU7" s="20"/>
      <c r="TQV7" s="20"/>
      <c r="TQW7" s="20"/>
      <c r="TQX7" s="20"/>
      <c r="TQY7" s="20"/>
      <c r="TQZ7" s="20"/>
      <c r="TRA7" s="20"/>
      <c r="TRB7" s="20"/>
      <c r="TRC7" s="20"/>
      <c r="TRD7" s="20"/>
      <c r="TRE7" s="20"/>
      <c r="TRF7" s="20"/>
      <c r="TRG7" s="20"/>
      <c r="TRH7" s="20"/>
      <c r="TRI7" s="20"/>
      <c r="TRJ7" s="20"/>
      <c r="TRK7" s="20"/>
      <c r="TRL7" s="20"/>
      <c r="TRM7" s="20"/>
      <c r="TRN7" s="20"/>
      <c r="TRO7" s="20"/>
      <c r="TRP7" s="20"/>
      <c r="TRQ7" s="20"/>
      <c r="TRR7" s="20"/>
      <c r="TRS7" s="20"/>
      <c r="TRT7" s="20"/>
      <c r="TRU7" s="20"/>
      <c r="TRV7" s="20"/>
      <c r="TRW7" s="20"/>
      <c r="TRX7" s="20"/>
      <c r="TRY7" s="20"/>
      <c r="TRZ7" s="20"/>
      <c r="TSA7" s="20"/>
      <c r="TSB7" s="20"/>
      <c r="TSC7" s="20"/>
      <c r="TSD7" s="20"/>
      <c r="TSE7" s="20"/>
      <c r="TSF7" s="20"/>
      <c r="TSG7" s="20"/>
      <c r="TSH7" s="20"/>
      <c r="TSI7" s="20"/>
      <c r="TSJ7" s="20"/>
      <c r="TSK7" s="20"/>
      <c r="TSL7" s="20"/>
      <c r="TSM7" s="20"/>
      <c r="TSN7" s="20"/>
      <c r="TSO7" s="20"/>
      <c r="TSP7" s="20"/>
      <c r="TSQ7" s="20"/>
      <c r="TSR7" s="20"/>
      <c r="TSS7" s="20"/>
      <c r="TST7" s="20"/>
      <c r="TSU7" s="20"/>
      <c r="TSV7" s="20"/>
      <c r="TSW7" s="20"/>
      <c r="TSX7" s="20"/>
      <c r="TSY7" s="20"/>
      <c r="TSZ7" s="20"/>
      <c r="TTA7" s="20"/>
      <c r="TTB7" s="20"/>
      <c r="TTC7" s="20"/>
      <c r="TTD7" s="20"/>
      <c r="TTE7" s="20"/>
      <c r="TTF7" s="20"/>
      <c r="TTG7" s="20"/>
      <c r="TTH7" s="20"/>
      <c r="TTI7" s="20"/>
      <c r="TTJ7" s="20"/>
      <c r="TTK7" s="20"/>
      <c r="TTL7" s="20"/>
      <c r="TTM7" s="20"/>
      <c r="TTN7" s="20"/>
      <c r="TTO7" s="20"/>
      <c r="TTP7" s="20"/>
      <c r="TTQ7" s="20"/>
      <c r="TTR7" s="20"/>
      <c r="TTS7" s="20"/>
      <c r="TTT7" s="20"/>
      <c r="TTU7" s="20"/>
      <c r="TTV7" s="20"/>
      <c r="TTW7" s="20"/>
      <c r="TTX7" s="20"/>
      <c r="TTY7" s="20"/>
      <c r="TTZ7" s="20"/>
      <c r="TUA7" s="20"/>
      <c r="TUB7" s="20"/>
      <c r="TUC7" s="20"/>
      <c r="TUD7" s="20"/>
      <c r="TUE7" s="20"/>
      <c r="TUF7" s="20"/>
      <c r="TUG7" s="20"/>
      <c r="TUH7" s="20"/>
      <c r="TUI7" s="20"/>
      <c r="TUJ7" s="20"/>
      <c r="TUK7" s="20"/>
      <c r="TUL7" s="20"/>
      <c r="TUM7" s="20"/>
      <c r="TUN7" s="20"/>
      <c r="TUO7" s="20"/>
      <c r="TUP7" s="20"/>
      <c r="TUQ7" s="20"/>
      <c r="TUR7" s="20"/>
      <c r="TUS7" s="20"/>
      <c r="TUT7" s="20"/>
      <c r="TUU7" s="20"/>
      <c r="TUV7" s="20"/>
      <c r="TUW7" s="20"/>
      <c r="TUX7" s="20"/>
      <c r="TUY7" s="20"/>
      <c r="TUZ7" s="20"/>
      <c r="TVA7" s="20"/>
      <c r="TVB7" s="20"/>
      <c r="TVC7" s="20"/>
      <c r="TVD7" s="20"/>
      <c r="TVE7" s="20"/>
      <c r="TVF7" s="20"/>
      <c r="TVG7" s="20"/>
      <c r="TVH7" s="20"/>
      <c r="TVI7" s="20"/>
      <c r="TVJ7" s="20"/>
      <c r="TVK7" s="20"/>
      <c r="TVL7" s="20"/>
      <c r="TVM7" s="20"/>
      <c r="TVN7" s="20"/>
      <c r="TVO7" s="20"/>
      <c r="TVP7" s="20"/>
      <c r="TVQ7" s="20"/>
      <c r="TVR7" s="20"/>
      <c r="TVS7" s="20"/>
      <c r="TVT7" s="20"/>
      <c r="TVU7" s="20"/>
      <c r="TVV7" s="20"/>
      <c r="TVW7" s="20"/>
      <c r="TVX7" s="20"/>
      <c r="TVY7" s="20"/>
      <c r="TVZ7" s="20"/>
      <c r="TWA7" s="20"/>
      <c r="TWB7" s="20"/>
      <c r="TWC7" s="20"/>
      <c r="TWD7" s="20"/>
      <c r="TWE7" s="20"/>
      <c r="TWF7" s="20"/>
      <c r="TWG7" s="20"/>
      <c r="TWH7" s="20"/>
      <c r="TWI7" s="20"/>
      <c r="TWJ7" s="20"/>
      <c r="TWK7" s="20"/>
      <c r="TWL7" s="20"/>
      <c r="TWM7" s="20"/>
      <c r="TWN7" s="20"/>
      <c r="TWO7" s="20"/>
      <c r="TWP7" s="20"/>
      <c r="TWQ7" s="20"/>
      <c r="TWR7" s="20"/>
      <c r="TWS7" s="20"/>
      <c r="TWT7" s="20"/>
      <c r="TWU7" s="20"/>
      <c r="TWV7" s="20"/>
      <c r="TWW7" s="20"/>
      <c r="TWX7" s="20"/>
      <c r="TWY7" s="20"/>
      <c r="TWZ7" s="20"/>
      <c r="TXA7" s="20"/>
      <c r="TXB7" s="20"/>
      <c r="TXC7" s="20"/>
      <c r="TXD7" s="20"/>
      <c r="TXE7" s="20"/>
      <c r="TXF7" s="20"/>
      <c r="TXG7" s="20"/>
      <c r="TXH7" s="20"/>
      <c r="TXI7" s="20"/>
      <c r="TXJ7" s="20"/>
      <c r="TXK7" s="20"/>
      <c r="TXL7" s="20"/>
      <c r="TXM7" s="20"/>
      <c r="TXN7" s="20"/>
      <c r="TXO7" s="20"/>
      <c r="TXP7" s="20"/>
      <c r="TXQ7" s="20"/>
      <c r="TXR7" s="20"/>
      <c r="TXS7" s="20"/>
      <c r="TXT7" s="20"/>
      <c r="TXU7" s="20"/>
      <c r="TXV7" s="20"/>
      <c r="TXW7" s="20"/>
      <c r="TXX7" s="20"/>
      <c r="TXY7" s="20"/>
      <c r="TXZ7" s="20"/>
      <c r="TYA7" s="20"/>
      <c r="TYB7" s="20"/>
      <c r="TYC7" s="20"/>
      <c r="TYD7" s="20"/>
      <c r="TYE7" s="20"/>
      <c r="TYF7" s="20"/>
      <c r="TYG7" s="20"/>
      <c r="TYH7" s="20"/>
      <c r="TYI7" s="20"/>
      <c r="TYJ7" s="20"/>
      <c r="TYK7" s="20"/>
      <c r="TYL7" s="20"/>
      <c r="TYM7" s="20"/>
      <c r="TYN7" s="20"/>
      <c r="TYO7" s="20"/>
      <c r="TYP7" s="20"/>
      <c r="TYQ7" s="20"/>
      <c r="TYR7" s="20"/>
      <c r="TYS7" s="20"/>
      <c r="TYT7" s="20"/>
      <c r="TYU7" s="20"/>
      <c r="TYV7" s="20"/>
      <c r="TYW7" s="20"/>
      <c r="TYX7" s="20"/>
      <c r="TYY7" s="20"/>
      <c r="TYZ7" s="20"/>
      <c r="TZA7" s="20"/>
      <c r="TZB7" s="20"/>
      <c r="TZC7" s="20"/>
      <c r="TZD7" s="20"/>
      <c r="TZE7" s="20"/>
      <c r="TZF7" s="20"/>
      <c r="TZG7" s="20"/>
      <c r="TZH7" s="20"/>
      <c r="TZI7" s="20"/>
      <c r="TZJ7" s="20"/>
      <c r="TZK7" s="20"/>
      <c r="TZL7" s="20"/>
      <c r="TZM7" s="20"/>
      <c r="TZN7" s="20"/>
      <c r="TZO7" s="20"/>
      <c r="TZP7" s="20"/>
      <c r="TZQ7" s="20"/>
      <c r="TZR7" s="20"/>
      <c r="TZS7" s="20"/>
      <c r="TZT7" s="20"/>
      <c r="TZU7" s="20"/>
      <c r="TZV7" s="20"/>
      <c r="TZW7" s="20"/>
      <c r="TZX7" s="20"/>
      <c r="TZY7" s="20"/>
      <c r="TZZ7" s="20"/>
      <c r="UAA7" s="20"/>
      <c r="UAB7" s="20"/>
      <c r="UAC7" s="20"/>
      <c r="UAD7" s="20"/>
      <c r="UAE7" s="20"/>
      <c r="UAF7" s="20"/>
      <c r="UAG7" s="20"/>
      <c r="UAH7" s="20"/>
      <c r="UAI7" s="20"/>
      <c r="UAJ7" s="20"/>
      <c r="UAK7" s="20"/>
      <c r="UAL7" s="20"/>
      <c r="UAM7" s="20"/>
      <c r="UAN7" s="20"/>
      <c r="UAO7" s="20"/>
      <c r="UAP7" s="20"/>
      <c r="UAQ7" s="20"/>
      <c r="UAR7" s="20"/>
      <c r="UAS7" s="20"/>
      <c r="UAT7" s="20"/>
      <c r="UAU7" s="20"/>
      <c r="UAV7" s="20"/>
      <c r="UAW7" s="20"/>
      <c r="UAX7" s="20"/>
      <c r="UAY7" s="20"/>
      <c r="UAZ7" s="20"/>
      <c r="UBA7" s="20"/>
      <c r="UBB7" s="20"/>
      <c r="UBC7" s="20"/>
      <c r="UBD7" s="20"/>
      <c r="UBE7" s="20"/>
      <c r="UBF7" s="20"/>
      <c r="UBG7" s="20"/>
      <c r="UBH7" s="20"/>
      <c r="UBI7" s="20"/>
      <c r="UBJ7" s="20"/>
      <c r="UBK7" s="20"/>
      <c r="UBL7" s="20"/>
      <c r="UBM7" s="20"/>
      <c r="UBN7" s="20"/>
      <c r="UBO7" s="20"/>
      <c r="UBP7" s="20"/>
      <c r="UBQ7" s="20"/>
      <c r="UBR7" s="20"/>
      <c r="UBS7" s="20"/>
      <c r="UBT7" s="20"/>
      <c r="UBU7" s="20"/>
      <c r="UBV7" s="20"/>
      <c r="UBW7" s="20"/>
      <c r="UBX7" s="20"/>
      <c r="UBY7" s="20"/>
      <c r="UBZ7" s="20"/>
      <c r="UCA7" s="20"/>
      <c r="UCB7" s="20"/>
      <c r="UCC7" s="20"/>
      <c r="UCD7" s="20"/>
      <c r="UCE7" s="20"/>
      <c r="UCF7" s="20"/>
      <c r="UCG7" s="20"/>
      <c r="UCH7" s="20"/>
      <c r="UCI7" s="20"/>
      <c r="UCJ7" s="20"/>
      <c r="UCK7" s="20"/>
      <c r="UCL7" s="20"/>
      <c r="UCM7" s="20"/>
      <c r="UCN7" s="20"/>
      <c r="UCO7" s="20"/>
      <c r="UCP7" s="20"/>
      <c r="UCQ7" s="20"/>
      <c r="UCR7" s="20"/>
      <c r="UCS7" s="20"/>
      <c r="UCT7" s="20"/>
      <c r="UCU7" s="20"/>
      <c r="UCV7" s="20"/>
      <c r="UCW7" s="20"/>
      <c r="UCX7" s="20"/>
      <c r="UCY7" s="20"/>
      <c r="UCZ7" s="20"/>
      <c r="UDA7" s="20"/>
      <c r="UDB7" s="20"/>
      <c r="UDC7" s="20"/>
      <c r="UDD7" s="20"/>
      <c r="UDE7" s="20"/>
      <c r="UDF7" s="20"/>
      <c r="UDG7" s="20"/>
      <c r="UDH7" s="20"/>
      <c r="UDI7" s="20"/>
      <c r="UDJ7" s="20"/>
      <c r="UDK7" s="20"/>
      <c r="UDL7" s="20"/>
      <c r="UDM7" s="20"/>
      <c r="UDN7" s="20"/>
      <c r="UDO7" s="20"/>
      <c r="UDP7" s="20"/>
      <c r="UDQ7" s="20"/>
      <c r="UDR7" s="20"/>
      <c r="UDS7" s="20"/>
      <c r="UDT7" s="20"/>
      <c r="UDU7" s="20"/>
      <c r="UDV7" s="20"/>
      <c r="UDW7" s="20"/>
      <c r="UDX7" s="20"/>
      <c r="UDY7" s="20"/>
      <c r="UDZ7" s="20"/>
      <c r="UEA7" s="20"/>
      <c r="UEB7" s="20"/>
      <c r="UEC7" s="20"/>
      <c r="UED7" s="20"/>
      <c r="UEE7" s="20"/>
      <c r="UEF7" s="20"/>
      <c r="UEG7" s="20"/>
      <c r="UEH7" s="20"/>
      <c r="UEI7" s="20"/>
      <c r="UEJ7" s="20"/>
      <c r="UEK7" s="20"/>
      <c r="UEL7" s="20"/>
      <c r="UEM7" s="20"/>
      <c r="UEN7" s="20"/>
      <c r="UEO7" s="20"/>
      <c r="UEP7" s="20"/>
      <c r="UEQ7" s="20"/>
      <c r="UER7" s="20"/>
      <c r="UES7" s="20"/>
      <c r="UET7" s="20"/>
      <c r="UEU7" s="20"/>
      <c r="UEV7" s="20"/>
      <c r="UEW7" s="20"/>
      <c r="UEX7" s="20"/>
      <c r="UEY7" s="20"/>
      <c r="UEZ7" s="20"/>
      <c r="UFA7" s="20"/>
      <c r="UFB7" s="20"/>
      <c r="UFC7" s="20"/>
      <c r="UFD7" s="20"/>
      <c r="UFE7" s="20"/>
      <c r="UFF7" s="20"/>
      <c r="UFG7" s="20"/>
      <c r="UFH7" s="20"/>
      <c r="UFI7" s="20"/>
      <c r="UFJ7" s="20"/>
      <c r="UFK7" s="20"/>
      <c r="UFL7" s="20"/>
      <c r="UFM7" s="20"/>
      <c r="UFN7" s="20"/>
      <c r="UFO7" s="20"/>
      <c r="UFP7" s="20"/>
      <c r="UFQ7" s="20"/>
      <c r="UFR7" s="20"/>
      <c r="UFS7" s="20"/>
      <c r="UFT7" s="20"/>
      <c r="UFU7" s="20"/>
      <c r="UFV7" s="20"/>
      <c r="UFW7" s="20"/>
      <c r="UFX7" s="20"/>
      <c r="UFY7" s="20"/>
      <c r="UFZ7" s="20"/>
      <c r="UGA7" s="20"/>
      <c r="UGB7" s="20"/>
      <c r="UGC7" s="20"/>
      <c r="UGD7" s="20"/>
      <c r="UGE7" s="20"/>
      <c r="UGF7" s="20"/>
      <c r="UGG7" s="20"/>
      <c r="UGH7" s="20"/>
      <c r="UGI7" s="20"/>
      <c r="UGJ7" s="20"/>
      <c r="UGK7" s="20"/>
      <c r="UGL7" s="20"/>
      <c r="UGM7" s="20"/>
      <c r="UGN7" s="20"/>
      <c r="UGO7" s="20"/>
      <c r="UGP7" s="20"/>
      <c r="UGQ7" s="20"/>
      <c r="UGR7" s="20"/>
      <c r="UGS7" s="20"/>
      <c r="UGT7" s="20"/>
      <c r="UGU7" s="20"/>
      <c r="UGV7" s="20"/>
      <c r="UGW7" s="20"/>
      <c r="UGX7" s="20"/>
      <c r="UGY7" s="20"/>
      <c r="UGZ7" s="20"/>
      <c r="UHA7" s="20"/>
      <c r="UHB7" s="20"/>
      <c r="UHC7" s="20"/>
      <c r="UHD7" s="20"/>
      <c r="UHE7" s="20"/>
      <c r="UHF7" s="20"/>
      <c r="UHG7" s="20"/>
      <c r="UHH7" s="20"/>
      <c r="UHI7" s="20"/>
      <c r="UHJ7" s="20"/>
      <c r="UHK7" s="20"/>
      <c r="UHL7" s="20"/>
      <c r="UHM7" s="20"/>
      <c r="UHN7" s="20"/>
      <c r="UHO7" s="20"/>
      <c r="UHP7" s="20"/>
      <c r="UHQ7" s="20"/>
      <c r="UHR7" s="20"/>
      <c r="UHS7" s="20"/>
      <c r="UHT7" s="20"/>
      <c r="UHU7" s="20"/>
      <c r="UHV7" s="20"/>
      <c r="UHW7" s="20"/>
      <c r="UHX7" s="20"/>
      <c r="UHY7" s="20"/>
      <c r="UHZ7" s="20"/>
      <c r="UIA7" s="20"/>
      <c r="UIB7" s="20"/>
      <c r="UIC7" s="20"/>
      <c r="UID7" s="20"/>
      <c r="UIE7" s="20"/>
      <c r="UIF7" s="20"/>
      <c r="UIG7" s="20"/>
      <c r="UIH7" s="20"/>
      <c r="UII7" s="20"/>
      <c r="UIJ7" s="20"/>
      <c r="UIK7" s="20"/>
      <c r="UIL7" s="20"/>
      <c r="UIM7" s="20"/>
      <c r="UIN7" s="20"/>
      <c r="UIO7" s="20"/>
      <c r="UIP7" s="20"/>
      <c r="UIQ7" s="20"/>
      <c r="UIR7" s="20"/>
      <c r="UIS7" s="20"/>
      <c r="UIT7" s="20"/>
      <c r="UIU7" s="20"/>
      <c r="UIV7" s="20"/>
      <c r="UIW7" s="20"/>
      <c r="UIX7" s="20"/>
      <c r="UIY7" s="20"/>
      <c r="UIZ7" s="20"/>
      <c r="UJA7" s="20"/>
      <c r="UJB7" s="20"/>
      <c r="UJC7" s="20"/>
      <c r="UJD7" s="20"/>
      <c r="UJE7" s="20"/>
      <c r="UJF7" s="20"/>
      <c r="UJG7" s="20"/>
      <c r="UJH7" s="20"/>
      <c r="UJI7" s="20"/>
      <c r="UJJ7" s="20"/>
      <c r="UJK7" s="20"/>
      <c r="UJL7" s="20"/>
      <c r="UJM7" s="20"/>
      <c r="UJN7" s="20"/>
      <c r="UJO7" s="20"/>
      <c r="UJP7" s="20"/>
      <c r="UJQ7" s="20"/>
      <c r="UJR7" s="20"/>
      <c r="UJS7" s="20"/>
      <c r="UJT7" s="20"/>
      <c r="UJU7" s="20"/>
      <c r="UJV7" s="20"/>
      <c r="UJW7" s="20"/>
      <c r="UJX7" s="20"/>
      <c r="UJY7" s="20"/>
      <c r="UJZ7" s="20"/>
      <c r="UKA7" s="20"/>
      <c r="UKB7" s="20"/>
      <c r="UKC7" s="20"/>
      <c r="UKD7" s="20"/>
      <c r="UKE7" s="20"/>
      <c r="UKF7" s="20"/>
      <c r="UKG7" s="20"/>
      <c r="UKH7" s="20"/>
      <c r="UKI7" s="20"/>
      <c r="UKJ7" s="20"/>
      <c r="UKK7" s="20"/>
      <c r="UKL7" s="20"/>
      <c r="UKM7" s="20"/>
      <c r="UKN7" s="20"/>
      <c r="UKO7" s="20"/>
      <c r="UKP7" s="20"/>
      <c r="UKQ7" s="20"/>
      <c r="UKR7" s="20"/>
      <c r="UKS7" s="20"/>
      <c r="UKT7" s="20"/>
      <c r="UKU7" s="20"/>
      <c r="UKV7" s="20"/>
      <c r="UKW7" s="20"/>
      <c r="UKX7" s="20"/>
      <c r="UKY7" s="20"/>
      <c r="UKZ7" s="20"/>
      <c r="ULA7" s="20"/>
      <c r="ULB7" s="20"/>
      <c r="ULC7" s="20"/>
      <c r="ULD7" s="20"/>
      <c r="ULE7" s="20"/>
      <c r="ULF7" s="20"/>
      <c r="ULG7" s="20"/>
      <c r="ULH7" s="20"/>
      <c r="ULI7" s="20"/>
      <c r="ULJ7" s="20"/>
      <c r="ULK7" s="20"/>
      <c r="ULL7" s="20"/>
      <c r="ULM7" s="20"/>
      <c r="ULN7" s="20"/>
      <c r="ULO7" s="20"/>
      <c r="ULP7" s="20"/>
      <c r="ULQ7" s="20"/>
      <c r="ULR7" s="20"/>
      <c r="ULS7" s="20"/>
      <c r="ULT7" s="20"/>
      <c r="ULU7" s="20"/>
      <c r="ULV7" s="20"/>
      <c r="ULW7" s="20"/>
      <c r="ULX7" s="20"/>
      <c r="ULY7" s="20"/>
      <c r="ULZ7" s="20"/>
      <c r="UMA7" s="20"/>
      <c r="UMB7" s="20"/>
      <c r="UMC7" s="20"/>
      <c r="UMD7" s="20"/>
      <c r="UME7" s="20"/>
      <c r="UMF7" s="20"/>
      <c r="UMG7" s="20"/>
      <c r="UMH7" s="20"/>
      <c r="UMI7" s="20"/>
      <c r="UMJ7" s="20"/>
      <c r="UMK7" s="20"/>
      <c r="UML7" s="20"/>
      <c r="UMM7" s="20"/>
      <c r="UMN7" s="20"/>
      <c r="UMO7" s="20"/>
      <c r="UMP7" s="20"/>
      <c r="UMQ7" s="20"/>
      <c r="UMR7" s="20"/>
      <c r="UMS7" s="20"/>
      <c r="UMT7" s="20"/>
      <c r="UMU7" s="20"/>
      <c r="UMV7" s="20"/>
      <c r="UMW7" s="20"/>
      <c r="UMX7" s="20"/>
      <c r="UMY7" s="20"/>
      <c r="UMZ7" s="20"/>
      <c r="UNA7" s="20"/>
      <c r="UNB7" s="20"/>
      <c r="UNC7" s="20"/>
      <c r="UND7" s="20"/>
      <c r="UNE7" s="20"/>
      <c r="UNF7" s="20"/>
      <c r="UNG7" s="20"/>
      <c r="UNH7" s="20"/>
      <c r="UNI7" s="20"/>
      <c r="UNJ7" s="20"/>
      <c r="UNK7" s="20"/>
      <c r="UNL7" s="20"/>
      <c r="UNM7" s="20"/>
      <c r="UNN7" s="20"/>
      <c r="UNO7" s="20"/>
      <c r="UNP7" s="20"/>
      <c r="UNQ7" s="20"/>
      <c r="UNR7" s="20"/>
      <c r="UNS7" s="20"/>
      <c r="UNT7" s="20"/>
      <c r="UNU7" s="20"/>
      <c r="UNV7" s="20"/>
      <c r="UNW7" s="20"/>
      <c r="UNX7" s="20"/>
      <c r="UNY7" s="20"/>
      <c r="UNZ7" s="20"/>
      <c r="UOA7" s="20"/>
      <c r="UOB7" s="20"/>
      <c r="UOC7" s="20"/>
      <c r="UOD7" s="20"/>
      <c r="UOE7" s="20"/>
      <c r="UOF7" s="20"/>
      <c r="UOG7" s="20"/>
      <c r="UOH7" s="20"/>
      <c r="UOI7" s="20"/>
      <c r="UOJ7" s="20"/>
      <c r="UOK7" s="20"/>
      <c r="UOL7" s="20"/>
      <c r="UOM7" s="20"/>
      <c r="UON7" s="20"/>
      <c r="UOO7" s="20"/>
      <c r="UOP7" s="20"/>
      <c r="UOQ7" s="20"/>
      <c r="UOR7" s="20"/>
      <c r="UOS7" s="20"/>
      <c r="UOT7" s="20"/>
      <c r="UOU7" s="20"/>
      <c r="UOV7" s="20"/>
      <c r="UOW7" s="20"/>
      <c r="UOX7" s="20"/>
      <c r="UOY7" s="20"/>
      <c r="UOZ7" s="20"/>
      <c r="UPA7" s="20"/>
      <c r="UPB7" s="20"/>
      <c r="UPC7" s="20"/>
      <c r="UPD7" s="20"/>
      <c r="UPE7" s="20"/>
      <c r="UPF7" s="20"/>
      <c r="UPG7" s="20"/>
      <c r="UPH7" s="20"/>
      <c r="UPI7" s="20"/>
      <c r="UPJ7" s="20"/>
      <c r="UPK7" s="20"/>
      <c r="UPL7" s="20"/>
      <c r="UPM7" s="20"/>
      <c r="UPN7" s="20"/>
      <c r="UPO7" s="20"/>
      <c r="UPP7" s="20"/>
      <c r="UPQ7" s="20"/>
      <c r="UPR7" s="20"/>
      <c r="UPS7" s="20"/>
      <c r="UPT7" s="20"/>
      <c r="UPU7" s="20"/>
      <c r="UPV7" s="20"/>
      <c r="UPW7" s="20"/>
      <c r="UPX7" s="20"/>
      <c r="UPY7" s="20"/>
      <c r="UPZ7" s="20"/>
      <c r="UQA7" s="20"/>
      <c r="UQB7" s="20"/>
      <c r="UQC7" s="20"/>
      <c r="UQD7" s="20"/>
      <c r="UQE7" s="20"/>
      <c r="UQF7" s="20"/>
      <c r="UQG7" s="20"/>
      <c r="UQH7" s="20"/>
      <c r="UQI7" s="20"/>
      <c r="UQJ7" s="20"/>
      <c r="UQK7" s="20"/>
      <c r="UQL7" s="20"/>
      <c r="UQM7" s="20"/>
      <c r="UQN7" s="20"/>
      <c r="UQO7" s="20"/>
      <c r="UQP7" s="20"/>
      <c r="UQQ7" s="20"/>
      <c r="UQR7" s="20"/>
      <c r="UQS7" s="20"/>
      <c r="UQT7" s="20"/>
      <c r="UQU7" s="20"/>
      <c r="UQV7" s="20"/>
      <c r="UQW7" s="20"/>
      <c r="UQX7" s="20"/>
      <c r="UQY7" s="20"/>
      <c r="UQZ7" s="20"/>
      <c r="URA7" s="20"/>
      <c r="URB7" s="20"/>
      <c r="URC7" s="20"/>
      <c r="URD7" s="20"/>
      <c r="URE7" s="20"/>
      <c r="URF7" s="20"/>
      <c r="URG7" s="20"/>
      <c r="URH7" s="20"/>
      <c r="URI7" s="20"/>
      <c r="URJ7" s="20"/>
      <c r="URK7" s="20"/>
      <c r="URL7" s="20"/>
      <c r="URM7" s="20"/>
      <c r="URN7" s="20"/>
      <c r="URO7" s="20"/>
      <c r="URP7" s="20"/>
      <c r="URQ7" s="20"/>
      <c r="URR7" s="20"/>
      <c r="URS7" s="20"/>
      <c r="URT7" s="20"/>
      <c r="URU7" s="20"/>
      <c r="URV7" s="20"/>
      <c r="URW7" s="20"/>
      <c r="URX7" s="20"/>
      <c r="URY7" s="20"/>
      <c r="URZ7" s="20"/>
      <c r="USA7" s="20"/>
      <c r="USB7" s="20"/>
      <c r="USC7" s="20"/>
      <c r="USD7" s="20"/>
      <c r="USE7" s="20"/>
      <c r="USF7" s="20"/>
      <c r="USG7" s="20"/>
      <c r="USH7" s="20"/>
      <c r="USI7" s="20"/>
      <c r="USJ7" s="20"/>
      <c r="USK7" s="20"/>
      <c r="USL7" s="20"/>
      <c r="USM7" s="20"/>
      <c r="USN7" s="20"/>
      <c r="USO7" s="20"/>
      <c r="USP7" s="20"/>
      <c r="USQ7" s="20"/>
      <c r="USR7" s="20"/>
      <c r="USS7" s="20"/>
      <c r="UST7" s="20"/>
      <c r="USU7" s="20"/>
      <c r="USV7" s="20"/>
      <c r="USW7" s="20"/>
      <c r="USX7" s="20"/>
      <c r="USY7" s="20"/>
      <c r="USZ7" s="20"/>
      <c r="UTA7" s="20"/>
      <c r="UTB7" s="20"/>
      <c r="UTC7" s="20"/>
      <c r="UTD7" s="20"/>
      <c r="UTE7" s="20"/>
      <c r="UTF7" s="20"/>
      <c r="UTG7" s="20"/>
      <c r="UTH7" s="20"/>
      <c r="UTI7" s="20"/>
      <c r="UTJ7" s="20"/>
      <c r="UTK7" s="20"/>
      <c r="UTL7" s="20"/>
      <c r="UTM7" s="20"/>
      <c r="UTN7" s="20"/>
      <c r="UTO7" s="20"/>
      <c r="UTP7" s="20"/>
      <c r="UTQ7" s="20"/>
      <c r="UTR7" s="20"/>
      <c r="UTS7" s="20"/>
      <c r="UTT7" s="20"/>
      <c r="UTU7" s="20"/>
      <c r="UTV7" s="20"/>
      <c r="UTW7" s="20"/>
      <c r="UTX7" s="20"/>
      <c r="UTY7" s="20"/>
      <c r="UTZ7" s="20"/>
      <c r="UUA7" s="20"/>
      <c r="UUB7" s="20"/>
      <c r="UUC7" s="20"/>
      <c r="UUD7" s="20"/>
      <c r="UUE7" s="20"/>
      <c r="UUF7" s="20"/>
      <c r="UUG7" s="20"/>
      <c r="UUH7" s="20"/>
      <c r="UUI7" s="20"/>
      <c r="UUJ7" s="20"/>
      <c r="UUK7" s="20"/>
      <c r="UUL7" s="20"/>
      <c r="UUM7" s="20"/>
      <c r="UUN7" s="20"/>
      <c r="UUO7" s="20"/>
      <c r="UUP7" s="20"/>
      <c r="UUQ7" s="20"/>
      <c r="UUR7" s="20"/>
      <c r="UUS7" s="20"/>
      <c r="UUT7" s="20"/>
      <c r="UUU7" s="20"/>
      <c r="UUV7" s="20"/>
      <c r="UUW7" s="20"/>
      <c r="UUX7" s="20"/>
      <c r="UUY7" s="20"/>
      <c r="UUZ7" s="20"/>
      <c r="UVA7" s="20"/>
      <c r="UVB7" s="20"/>
      <c r="UVC7" s="20"/>
      <c r="UVD7" s="20"/>
      <c r="UVE7" s="20"/>
      <c r="UVF7" s="20"/>
      <c r="UVG7" s="20"/>
      <c r="UVH7" s="20"/>
      <c r="UVI7" s="20"/>
      <c r="UVJ7" s="20"/>
      <c r="UVK7" s="20"/>
      <c r="UVL7" s="20"/>
      <c r="UVM7" s="20"/>
      <c r="UVN7" s="20"/>
      <c r="UVO7" s="20"/>
      <c r="UVP7" s="20"/>
      <c r="UVQ7" s="20"/>
      <c r="UVR7" s="20"/>
      <c r="UVS7" s="20"/>
      <c r="UVT7" s="20"/>
      <c r="UVU7" s="20"/>
      <c r="UVV7" s="20"/>
      <c r="UVW7" s="20"/>
      <c r="UVX7" s="20"/>
      <c r="UVY7" s="20"/>
      <c r="UVZ7" s="20"/>
      <c r="UWA7" s="20"/>
      <c r="UWB7" s="20"/>
      <c r="UWC7" s="20"/>
      <c r="UWD7" s="20"/>
      <c r="UWE7" s="20"/>
      <c r="UWF7" s="20"/>
      <c r="UWG7" s="20"/>
      <c r="UWH7" s="20"/>
      <c r="UWI7" s="20"/>
      <c r="UWJ7" s="20"/>
      <c r="UWK7" s="20"/>
      <c r="UWL7" s="20"/>
      <c r="UWM7" s="20"/>
      <c r="UWN7" s="20"/>
      <c r="UWO7" s="20"/>
      <c r="UWP7" s="20"/>
      <c r="UWQ7" s="20"/>
      <c r="UWR7" s="20"/>
      <c r="UWS7" s="20"/>
      <c r="UWT7" s="20"/>
      <c r="UWU7" s="20"/>
      <c r="UWV7" s="20"/>
      <c r="UWW7" s="20"/>
      <c r="UWX7" s="20"/>
      <c r="UWY7" s="20"/>
      <c r="UWZ7" s="20"/>
      <c r="UXA7" s="20"/>
      <c r="UXB7" s="20"/>
      <c r="UXC7" s="20"/>
      <c r="UXD7" s="20"/>
      <c r="UXE7" s="20"/>
      <c r="UXF7" s="20"/>
      <c r="UXG7" s="20"/>
      <c r="UXH7" s="20"/>
      <c r="UXI7" s="20"/>
      <c r="UXJ7" s="20"/>
      <c r="UXK7" s="20"/>
      <c r="UXL7" s="20"/>
      <c r="UXM7" s="20"/>
      <c r="UXN7" s="20"/>
      <c r="UXO7" s="20"/>
      <c r="UXP7" s="20"/>
      <c r="UXQ7" s="20"/>
      <c r="UXR7" s="20"/>
      <c r="UXS7" s="20"/>
      <c r="UXT7" s="20"/>
      <c r="UXU7" s="20"/>
      <c r="UXV7" s="20"/>
      <c r="UXW7" s="20"/>
      <c r="UXX7" s="20"/>
      <c r="UXY7" s="20"/>
      <c r="UXZ7" s="20"/>
      <c r="UYA7" s="20"/>
      <c r="UYB7" s="20"/>
      <c r="UYC7" s="20"/>
      <c r="UYD7" s="20"/>
      <c r="UYE7" s="20"/>
      <c r="UYF7" s="20"/>
      <c r="UYG7" s="20"/>
      <c r="UYH7" s="20"/>
      <c r="UYI7" s="20"/>
      <c r="UYJ7" s="20"/>
      <c r="UYK7" s="20"/>
      <c r="UYL7" s="20"/>
      <c r="UYM7" s="20"/>
      <c r="UYN7" s="20"/>
      <c r="UYO7" s="20"/>
      <c r="UYP7" s="20"/>
      <c r="UYQ7" s="20"/>
      <c r="UYR7" s="20"/>
      <c r="UYS7" s="20"/>
      <c r="UYT7" s="20"/>
      <c r="UYU7" s="20"/>
      <c r="UYV7" s="20"/>
      <c r="UYW7" s="20"/>
      <c r="UYX7" s="20"/>
      <c r="UYY7" s="20"/>
      <c r="UYZ7" s="20"/>
      <c r="UZA7" s="20"/>
      <c r="UZB7" s="20"/>
      <c r="UZC7" s="20"/>
      <c r="UZD7" s="20"/>
      <c r="UZE7" s="20"/>
      <c r="UZF7" s="20"/>
      <c r="UZG7" s="20"/>
      <c r="UZH7" s="20"/>
      <c r="UZI7" s="20"/>
      <c r="UZJ7" s="20"/>
      <c r="UZK7" s="20"/>
      <c r="UZL7" s="20"/>
      <c r="UZM7" s="20"/>
      <c r="UZN7" s="20"/>
      <c r="UZO7" s="20"/>
      <c r="UZP7" s="20"/>
      <c r="UZQ7" s="20"/>
      <c r="UZR7" s="20"/>
      <c r="UZS7" s="20"/>
      <c r="UZT7" s="20"/>
      <c r="UZU7" s="20"/>
      <c r="UZV7" s="20"/>
      <c r="UZW7" s="20"/>
      <c r="UZX7" s="20"/>
      <c r="UZY7" s="20"/>
      <c r="UZZ7" s="20"/>
      <c r="VAA7" s="20"/>
      <c r="VAB7" s="20"/>
      <c r="VAC7" s="20"/>
      <c r="VAD7" s="20"/>
      <c r="VAE7" s="20"/>
      <c r="VAF7" s="20"/>
      <c r="VAG7" s="20"/>
      <c r="VAH7" s="20"/>
      <c r="VAI7" s="20"/>
      <c r="VAJ7" s="20"/>
      <c r="VAK7" s="20"/>
      <c r="VAL7" s="20"/>
      <c r="VAM7" s="20"/>
      <c r="VAN7" s="20"/>
      <c r="VAO7" s="20"/>
      <c r="VAP7" s="20"/>
      <c r="VAQ7" s="20"/>
      <c r="VAR7" s="20"/>
      <c r="VAS7" s="20"/>
      <c r="VAT7" s="20"/>
      <c r="VAU7" s="20"/>
      <c r="VAV7" s="20"/>
      <c r="VAW7" s="20"/>
      <c r="VAX7" s="20"/>
      <c r="VAY7" s="20"/>
      <c r="VAZ7" s="20"/>
      <c r="VBA7" s="20"/>
      <c r="VBB7" s="20"/>
      <c r="VBC7" s="20"/>
      <c r="VBD7" s="20"/>
      <c r="VBE7" s="20"/>
      <c r="VBF7" s="20"/>
      <c r="VBG7" s="20"/>
      <c r="VBH7" s="20"/>
      <c r="VBI7" s="20"/>
      <c r="VBJ7" s="20"/>
      <c r="VBK7" s="20"/>
      <c r="VBL7" s="20"/>
      <c r="VBM7" s="20"/>
      <c r="VBN7" s="20"/>
      <c r="VBO7" s="20"/>
      <c r="VBP7" s="20"/>
      <c r="VBQ7" s="20"/>
      <c r="VBR7" s="20"/>
      <c r="VBS7" s="20"/>
      <c r="VBT7" s="20"/>
      <c r="VBU7" s="20"/>
      <c r="VBV7" s="20"/>
      <c r="VBW7" s="20"/>
      <c r="VBX7" s="20"/>
      <c r="VBY7" s="20"/>
      <c r="VBZ7" s="20"/>
      <c r="VCA7" s="20"/>
      <c r="VCB7" s="20"/>
      <c r="VCC7" s="20"/>
      <c r="VCD7" s="20"/>
      <c r="VCE7" s="20"/>
      <c r="VCF7" s="20"/>
      <c r="VCG7" s="20"/>
      <c r="VCH7" s="20"/>
      <c r="VCI7" s="20"/>
      <c r="VCJ7" s="20"/>
      <c r="VCK7" s="20"/>
      <c r="VCL7" s="20"/>
      <c r="VCM7" s="20"/>
      <c r="VCN7" s="20"/>
      <c r="VCO7" s="20"/>
      <c r="VCP7" s="20"/>
      <c r="VCQ7" s="20"/>
      <c r="VCR7" s="20"/>
      <c r="VCS7" s="20"/>
      <c r="VCT7" s="20"/>
      <c r="VCU7" s="20"/>
      <c r="VCV7" s="20"/>
      <c r="VCW7" s="20"/>
      <c r="VCX7" s="20"/>
      <c r="VCY7" s="20"/>
      <c r="VCZ7" s="20"/>
      <c r="VDA7" s="20"/>
      <c r="VDB7" s="20"/>
      <c r="VDC7" s="20"/>
      <c r="VDD7" s="20"/>
      <c r="VDE7" s="20"/>
      <c r="VDF7" s="20"/>
      <c r="VDG7" s="20"/>
      <c r="VDH7" s="20"/>
      <c r="VDI7" s="20"/>
      <c r="VDJ7" s="20"/>
      <c r="VDK7" s="20"/>
      <c r="VDL7" s="20"/>
      <c r="VDM7" s="20"/>
      <c r="VDN7" s="20"/>
      <c r="VDO7" s="20"/>
      <c r="VDP7" s="20"/>
      <c r="VDQ7" s="20"/>
      <c r="VDR7" s="20"/>
      <c r="VDS7" s="20"/>
      <c r="VDT7" s="20"/>
      <c r="VDU7" s="20"/>
      <c r="VDV7" s="20"/>
      <c r="VDW7" s="20"/>
      <c r="VDX7" s="20"/>
      <c r="VDY7" s="20"/>
      <c r="VDZ7" s="20"/>
      <c r="VEA7" s="20"/>
      <c r="VEB7" s="20"/>
      <c r="VEC7" s="20"/>
      <c r="VED7" s="20"/>
      <c r="VEE7" s="20"/>
      <c r="VEF7" s="20"/>
      <c r="VEG7" s="20"/>
      <c r="VEH7" s="20"/>
      <c r="VEI7" s="20"/>
      <c r="VEJ7" s="20"/>
      <c r="VEK7" s="20"/>
      <c r="VEL7" s="20"/>
      <c r="VEM7" s="20"/>
      <c r="VEN7" s="20"/>
      <c r="VEO7" s="20"/>
      <c r="VEP7" s="20"/>
      <c r="VEQ7" s="20"/>
      <c r="VER7" s="20"/>
      <c r="VES7" s="20"/>
      <c r="VET7" s="20"/>
      <c r="VEU7" s="20"/>
      <c r="VEV7" s="20"/>
      <c r="VEW7" s="20"/>
      <c r="VEX7" s="20"/>
      <c r="VEY7" s="20"/>
      <c r="VEZ7" s="20"/>
      <c r="VFA7" s="20"/>
      <c r="VFB7" s="20"/>
      <c r="VFC7" s="20"/>
      <c r="VFD7" s="20"/>
      <c r="VFE7" s="20"/>
      <c r="VFF7" s="20"/>
      <c r="VFG7" s="20"/>
      <c r="VFH7" s="20"/>
      <c r="VFI7" s="20"/>
      <c r="VFJ7" s="20"/>
      <c r="VFK7" s="20"/>
      <c r="VFL7" s="20"/>
      <c r="VFM7" s="20"/>
      <c r="VFN7" s="20"/>
      <c r="VFO7" s="20"/>
      <c r="VFP7" s="20"/>
      <c r="VFQ7" s="20"/>
      <c r="VFR7" s="20"/>
      <c r="VFS7" s="20"/>
      <c r="VFT7" s="20"/>
      <c r="VFU7" s="20"/>
      <c r="VFV7" s="20"/>
      <c r="VFW7" s="20"/>
      <c r="VFX7" s="20"/>
      <c r="VFY7" s="20"/>
      <c r="VFZ7" s="20"/>
      <c r="VGA7" s="20"/>
      <c r="VGB7" s="20"/>
      <c r="VGC7" s="20"/>
      <c r="VGD7" s="20"/>
      <c r="VGE7" s="20"/>
      <c r="VGF7" s="20"/>
      <c r="VGG7" s="20"/>
      <c r="VGH7" s="20"/>
      <c r="VGI7" s="20"/>
      <c r="VGJ7" s="20"/>
      <c r="VGK7" s="20"/>
      <c r="VGL7" s="20"/>
      <c r="VGM7" s="20"/>
      <c r="VGN7" s="20"/>
      <c r="VGO7" s="20"/>
      <c r="VGP7" s="20"/>
      <c r="VGQ7" s="20"/>
      <c r="VGR7" s="20"/>
      <c r="VGS7" s="20"/>
      <c r="VGT7" s="20"/>
      <c r="VGU7" s="20"/>
      <c r="VGV7" s="20"/>
      <c r="VGW7" s="20"/>
      <c r="VGX7" s="20"/>
      <c r="VGY7" s="20"/>
      <c r="VGZ7" s="20"/>
      <c r="VHA7" s="20"/>
      <c r="VHB7" s="20"/>
      <c r="VHC7" s="20"/>
      <c r="VHD7" s="20"/>
      <c r="VHE7" s="20"/>
      <c r="VHF7" s="20"/>
      <c r="VHG7" s="20"/>
      <c r="VHH7" s="20"/>
      <c r="VHI7" s="20"/>
      <c r="VHJ7" s="20"/>
      <c r="VHK7" s="20"/>
      <c r="VHL7" s="20"/>
      <c r="VHM7" s="20"/>
      <c r="VHN7" s="20"/>
      <c r="VHO7" s="20"/>
      <c r="VHP7" s="20"/>
      <c r="VHQ7" s="20"/>
      <c r="VHR7" s="20"/>
      <c r="VHS7" s="20"/>
      <c r="VHT7" s="20"/>
      <c r="VHU7" s="20"/>
      <c r="VHV7" s="20"/>
      <c r="VHW7" s="20"/>
      <c r="VHX7" s="20"/>
      <c r="VHY7" s="20"/>
      <c r="VHZ7" s="20"/>
      <c r="VIA7" s="20"/>
      <c r="VIB7" s="20"/>
      <c r="VIC7" s="20"/>
      <c r="VID7" s="20"/>
      <c r="VIE7" s="20"/>
      <c r="VIF7" s="20"/>
      <c r="VIG7" s="20"/>
      <c r="VIH7" s="20"/>
      <c r="VII7" s="20"/>
      <c r="VIJ7" s="20"/>
      <c r="VIK7" s="20"/>
      <c r="VIL7" s="20"/>
      <c r="VIM7" s="20"/>
      <c r="VIN7" s="20"/>
      <c r="VIO7" s="20"/>
      <c r="VIP7" s="20"/>
      <c r="VIQ7" s="20"/>
      <c r="VIR7" s="20"/>
      <c r="VIS7" s="20"/>
      <c r="VIT7" s="20"/>
      <c r="VIU7" s="20"/>
      <c r="VIV7" s="20"/>
      <c r="VIW7" s="20"/>
      <c r="VIX7" s="20"/>
      <c r="VIY7" s="20"/>
      <c r="VIZ7" s="20"/>
      <c r="VJA7" s="20"/>
      <c r="VJB7" s="20"/>
      <c r="VJC7" s="20"/>
      <c r="VJD7" s="20"/>
      <c r="VJE7" s="20"/>
      <c r="VJF7" s="20"/>
      <c r="VJG7" s="20"/>
      <c r="VJH7" s="20"/>
      <c r="VJI7" s="20"/>
      <c r="VJJ7" s="20"/>
      <c r="VJK7" s="20"/>
      <c r="VJL7" s="20"/>
      <c r="VJM7" s="20"/>
      <c r="VJN7" s="20"/>
      <c r="VJO7" s="20"/>
      <c r="VJP7" s="20"/>
      <c r="VJQ7" s="20"/>
      <c r="VJR7" s="20"/>
      <c r="VJS7" s="20"/>
      <c r="VJT7" s="20"/>
      <c r="VJU7" s="20"/>
      <c r="VJV7" s="20"/>
      <c r="VJW7" s="20"/>
      <c r="VJX7" s="20"/>
      <c r="VJY7" s="20"/>
      <c r="VJZ7" s="20"/>
      <c r="VKA7" s="20"/>
      <c r="VKB7" s="20"/>
      <c r="VKC7" s="20"/>
      <c r="VKD7" s="20"/>
      <c r="VKE7" s="20"/>
      <c r="VKF7" s="20"/>
      <c r="VKG7" s="20"/>
      <c r="VKH7" s="20"/>
      <c r="VKI7" s="20"/>
      <c r="VKJ7" s="20"/>
      <c r="VKK7" s="20"/>
      <c r="VKL7" s="20"/>
      <c r="VKM7" s="20"/>
      <c r="VKN7" s="20"/>
      <c r="VKO7" s="20"/>
      <c r="VKP7" s="20"/>
      <c r="VKQ7" s="20"/>
      <c r="VKR7" s="20"/>
      <c r="VKS7" s="20"/>
      <c r="VKT7" s="20"/>
      <c r="VKU7" s="20"/>
      <c r="VKV7" s="20"/>
      <c r="VKW7" s="20"/>
      <c r="VKX7" s="20"/>
      <c r="VKY7" s="20"/>
      <c r="VKZ7" s="20"/>
      <c r="VLA7" s="20"/>
      <c r="VLB7" s="20"/>
      <c r="VLC7" s="20"/>
      <c r="VLD7" s="20"/>
      <c r="VLE7" s="20"/>
      <c r="VLF7" s="20"/>
      <c r="VLG7" s="20"/>
      <c r="VLH7" s="20"/>
      <c r="VLI7" s="20"/>
      <c r="VLJ7" s="20"/>
      <c r="VLK7" s="20"/>
      <c r="VLL7" s="20"/>
      <c r="VLM7" s="20"/>
      <c r="VLN7" s="20"/>
      <c r="VLO7" s="20"/>
      <c r="VLP7" s="20"/>
      <c r="VLQ7" s="20"/>
      <c r="VLR7" s="20"/>
      <c r="VLS7" s="20"/>
      <c r="VLT7" s="20"/>
      <c r="VLU7" s="20"/>
      <c r="VLV7" s="20"/>
      <c r="VLW7" s="20"/>
      <c r="VLX7" s="20"/>
      <c r="VLY7" s="20"/>
      <c r="VLZ7" s="20"/>
      <c r="VMA7" s="20"/>
      <c r="VMB7" s="20"/>
      <c r="VMC7" s="20"/>
      <c r="VMD7" s="20"/>
      <c r="VME7" s="20"/>
      <c r="VMF7" s="20"/>
      <c r="VMG7" s="20"/>
      <c r="VMH7" s="20"/>
      <c r="VMI7" s="20"/>
      <c r="VMJ7" s="20"/>
      <c r="VMK7" s="20"/>
      <c r="VML7" s="20"/>
      <c r="VMM7" s="20"/>
      <c r="VMN7" s="20"/>
      <c r="VMO7" s="20"/>
      <c r="VMP7" s="20"/>
      <c r="VMQ7" s="20"/>
      <c r="VMR7" s="20"/>
      <c r="VMS7" s="20"/>
      <c r="VMT7" s="20"/>
      <c r="VMU7" s="20"/>
      <c r="VMV7" s="20"/>
      <c r="VMW7" s="20"/>
      <c r="VMX7" s="20"/>
      <c r="VMY7" s="20"/>
      <c r="VMZ7" s="20"/>
      <c r="VNA7" s="20"/>
      <c r="VNB7" s="20"/>
      <c r="VNC7" s="20"/>
      <c r="VND7" s="20"/>
      <c r="VNE7" s="20"/>
      <c r="VNF7" s="20"/>
      <c r="VNG7" s="20"/>
      <c r="VNH7" s="20"/>
      <c r="VNI7" s="20"/>
      <c r="VNJ7" s="20"/>
      <c r="VNK7" s="20"/>
      <c r="VNL7" s="20"/>
      <c r="VNM7" s="20"/>
      <c r="VNN7" s="20"/>
      <c r="VNO7" s="20"/>
      <c r="VNP7" s="20"/>
      <c r="VNQ7" s="20"/>
      <c r="VNR7" s="20"/>
      <c r="VNS7" s="20"/>
      <c r="VNT7" s="20"/>
      <c r="VNU7" s="20"/>
      <c r="VNV7" s="20"/>
      <c r="VNW7" s="20"/>
      <c r="VNX7" s="20"/>
      <c r="VNY7" s="20"/>
      <c r="VNZ7" s="20"/>
      <c r="VOA7" s="20"/>
      <c r="VOB7" s="20"/>
      <c r="VOC7" s="20"/>
      <c r="VOD7" s="20"/>
      <c r="VOE7" s="20"/>
      <c r="VOF7" s="20"/>
      <c r="VOG7" s="20"/>
      <c r="VOH7" s="20"/>
      <c r="VOI7" s="20"/>
      <c r="VOJ7" s="20"/>
      <c r="VOK7" s="20"/>
      <c r="VOL7" s="20"/>
      <c r="VOM7" s="20"/>
      <c r="VON7" s="20"/>
      <c r="VOO7" s="20"/>
      <c r="VOP7" s="20"/>
      <c r="VOQ7" s="20"/>
      <c r="VOR7" s="20"/>
      <c r="VOS7" s="20"/>
      <c r="VOT7" s="20"/>
      <c r="VOU7" s="20"/>
      <c r="VOV7" s="20"/>
      <c r="VOW7" s="20"/>
      <c r="VOX7" s="20"/>
      <c r="VOY7" s="20"/>
      <c r="VOZ7" s="20"/>
      <c r="VPA7" s="20"/>
      <c r="VPB7" s="20"/>
      <c r="VPC7" s="20"/>
      <c r="VPD7" s="20"/>
      <c r="VPE7" s="20"/>
      <c r="VPF7" s="20"/>
      <c r="VPG7" s="20"/>
      <c r="VPH7" s="20"/>
      <c r="VPI7" s="20"/>
      <c r="VPJ7" s="20"/>
      <c r="VPK7" s="20"/>
      <c r="VPL7" s="20"/>
      <c r="VPM7" s="20"/>
      <c r="VPN7" s="20"/>
      <c r="VPO7" s="20"/>
      <c r="VPP7" s="20"/>
      <c r="VPQ7" s="20"/>
      <c r="VPR7" s="20"/>
      <c r="VPS7" s="20"/>
      <c r="VPT7" s="20"/>
      <c r="VPU7" s="20"/>
      <c r="VPV7" s="20"/>
      <c r="VPW7" s="20"/>
      <c r="VPX7" s="20"/>
      <c r="VPY7" s="20"/>
      <c r="VPZ7" s="20"/>
      <c r="VQA7" s="20"/>
      <c r="VQB7" s="20"/>
      <c r="VQC7" s="20"/>
      <c r="VQD7" s="20"/>
      <c r="VQE7" s="20"/>
      <c r="VQF7" s="20"/>
      <c r="VQG7" s="20"/>
      <c r="VQH7" s="20"/>
      <c r="VQI7" s="20"/>
      <c r="VQJ7" s="20"/>
      <c r="VQK7" s="20"/>
      <c r="VQL7" s="20"/>
      <c r="VQM7" s="20"/>
      <c r="VQN7" s="20"/>
      <c r="VQO7" s="20"/>
      <c r="VQP7" s="20"/>
      <c r="VQQ7" s="20"/>
      <c r="VQR7" s="20"/>
      <c r="VQS7" s="20"/>
      <c r="VQT7" s="20"/>
      <c r="VQU7" s="20"/>
      <c r="VQV7" s="20"/>
      <c r="VQW7" s="20"/>
      <c r="VQX7" s="20"/>
      <c r="VQY7" s="20"/>
      <c r="VQZ7" s="20"/>
      <c r="VRA7" s="20"/>
      <c r="VRB7" s="20"/>
      <c r="VRC7" s="20"/>
      <c r="VRD7" s="20"/>
      <c r="VRE7" s="20"/>
      <c r="VRF7" s="20"/>
      <c r="VRG7" s="20"/>
      <c r="VRH7" s="20"/>
      <c r="VRI7" s="20"/>
      <c r="VRJ7" s="20"/>
      <c r="VRK7" s="20"/>
      <c r="VRL7" s="20"/>
      <c r="VRM7" s="20"/>
      <c r="VRN7" s="20"/>
      <c r="VRO7" s="20"/>
      <c r="VRP7" s="20"/>
      <c r="VRQ7" s="20"/>
      <c r="VRR7" s="20"/>
      <c r="VRS7" s="20"/>
      <c r="VRT7" s="20"/>
      <c r="VRU7" s="20"/>
      <c r="VRV7" s="20"/>
      <c r="VRW7" s="20"/>
      <c r="VRX7" s="20"/>
      <c r="VRY7" s="20"/>
      <c r="VRZ7" s="20"/>
      <c r="VSA7" s="20"/>
      <c r="VSB7" s="20"/>
      <c r="VSC7" s="20"/>
      <c r="VSD7" s="20"/>
      <c r="VSE7" s="20"/>
      <c r="VSF7" s="20"/>
      <c r="VSG7" s="20"/>
      <c r="VSH7" s="20"/>
      <c r="VSI7" s="20"/>
      <c r="VSJ7" s="20"/>
      <c r="VSK7" s="20"/>
      <c r="VSL7" s="20"/>
      <c r="VSM7" s="20"/>
      <c r="VSN7" s="20"/>
      <c r="VSO7" s="20"/>
      <c r="VSP7" s="20"/>
      <c r="VSQ7" s="20"/>
      <c r="VSR7" s="20"/>
      <c r="VSS7" s="20"/>
      <c r="VST7" s="20"/>
      <c r="VSU7" s="20"/>
      <c r="VSV7" s="20"/>
      <c r="VSW7" s="20"/>
      <c r="VSX7" s="20"/>
      <c r="VSY7" s="20"/>
      <c r="VSZ7" s="20"/>
      <c r="VTA7" s="20"/>
      <c r="VTB7" s="20"/>
      <c r="VTC7" s="20"/>
      <c r="VTD7" s="20"/>
      <c r="VTE7" s="20"/>
      <c r="VTF7" s="20"/>
      <c r="VTG7" s="20"/>
      <c r="VTH7" s="20"/>
      <c r="VTI7" s="20"/>
      <c r="VTJ7" s="20"/>
      <c r="VTK7" s="20"/>
      <c r="VTL7" s="20"/>
      <c r="VTM7" s="20"/>
      <c r="VTN7" s="20"/>
      <c r="VTO7" s="20"/>
      <c r="VTP7" s="20"/>
      <c r="VTQ7" s="20"/>
      <c r="VTR7" s="20"/>
      <c r="VTS7" s="20"/>
      <c r="VTT7" s="20"/>
      <c r="VTU7" s="20"/>
      <c r="VTV7" s="20"/>
      <c r="VTW7" s="20"/>
      <c r="VTX7" s="20"/>
      <c r="VTY7" s="20"/>
      <c r="VTZ7" s="20"/>
      <c r="VUA7" s="20"/>
      <c r="VUB7" s="20"/>
      <c r="VUC7" s="20"/>
      <c r="VUD7" s="20"/>
      <c r="VUE7" s="20"/>
      <c r="VUF7" s="20"/>
      <c r="VUG7" s="20"/>
      <c r="VUH7" s="20"/>
      <c r="VUI7" s="20"/>
      <c r="VUJ7" s="20"/>
      <c r="VUK7" s="20"/>
      <c r="VUL7" s="20"/>
      <c r="VUM7" s="20"/>
      <c r="VUN7" s="20"/>
      <c r="VUO7" s="20"/>
      <c r="VUP7" s="20"/>
      <c r="VUQ7" s="20"/>
      <c r="VUR7" s="20"/>
      <c r="VUS7" s="20"/>
      <c r="VUT7" s="20"/>
      <c r="VUU7" s="20"/>
      <c r="VUV7" s="20"/>
      <c r="VUW7" s="20"/>
      <c r="VUX7" s="20"/>
      <c r="VUY7" s="20"/>
      <c r="VUZ7" s="20"/>
      <c r="VVA7" s="20"/>
      <c r="VVB7" s="20"/>
      <c r="VVC7" s="20"/>
      <c r="VVD7" s="20"/>
      <c r="VVE7" s="20"/>
      <c r="VVF7" s="20"/>
      <c r="VVG7" s="20"/>
      <c r="VVH7" s="20"/>
      <c r="VVI7" s="20"/>
      <c r="VVJ7" s="20"/>
      <c r="VVK7" s="20"/>
      <c r="VVL7" s="20"/>
      <c r="VVM7" s="20"/>
      <c r="VVN7" s="20"/>
      <c r="VVO7" s="20"/>
      <c r="VVP7" s="20"/>
      <c r="VVQ7" s="20"/>
      <c r="VVR7" s="20"/>
      <c r="VVS7" s="20"/>
      <c r="VVT7" s="20"/>
      <c r="VVU7" s="20"/>
      <c r="VVV7" s="20"/>
      <c r="VVW7" s="20"/>
      <c r="VVX7" s="20"/>
      <c r="VVY7" s="20"/>
      <c r="VVZ7" s="20"/>
      <c r="VWA7" s="20"/>
      <c r="VWB7" s="20"/>
      <c r="VWC7" s="20"/>
      <c r="VWD7" s="20"/>
      <c r="VWE7" s="20"/>
      <c r="VWF7" s="20"/>
      <c r="VWG7" s="20"/>
      <c r="VWH7" s="20"/>
      <c r="VWI7" s="20"/>
      <c r="VWJ7" s="20"/>
      <c r="VWK7" s="20"/>
      <c r="VWL7" s="20"/>
      <c r="VWM7" s="20"/>
      <c r="VWN7" s="20"/>
      <c r="VWO7" s="20"/>
      <c r="VWP7" s="20"/>
      <c r="VWQ7" s="20"/>
      <c r="VWR7" s="20"/>
      <c r="VWS7" s="20"/>
      <c r="VWT7" s="20"/>
      <c r="VWU7" s="20"/>
      <c r="VWV7" s="20"/>
      <c r="VWW7" s="20"/>
      <c r="VWX7" s="20"/>
      <c r="VWY7" s="20"/>
      <c r="VWZ7" s="20"/>
      <c r="VXA7" s="20"/>
      <c r="VXB7" s="20"/>
      <c r="VXC7" s="20"/>
      <c r="VXD7" s="20"/>
      <c r="VXE7" s="20"/>
      <c r="VXF7" s="20"/>
      <c r="VXG7" s="20"/>
      <c r="VXH7" s="20"/>
      <c r="VXI7" s="20"/>
      <c r="VXJ7" s="20"/>
      <c r="VXK7" s="20"/>
      <c r="VXL7" s="20"/>
      <c r="VXM7" s="20"/>
      <c r="VXN7" s="20"/>
      <c r="VXO7" s="20"/>
      <c r="VXP7" s="20"/>
      <c r="VXQ7" s="20"/>
      <c r="VXR7" s="20"/>
      <c r="VXS7" s="20"/>
      <c r="VXT7" s="20"/>
      <c r="VXU7" s="20"/>
      <c r="VXV7" s="20"/>
      <c r="VXW7" s="20"/>
      <c r="VXX7" s="20"/>
      <c r="VXY7" s="20"/>
      <c r="VXZ7" s="20"/>
      <c r="VYA7" s="20"/>
      <c r="VYB7" s="20"/>
      <c r="VYC7" s="20"/>
      <c r="VYD7" s="20"/>
      <c r="VYE7" s="20"/>
      <c r="VYF7" s="20"/>
      <c r="VYG7" s="20"/>
      <c r="VYH7" s="20"/>
      <c r="VYI7" s="20"/>
      <c r="VYJ7" s="20"/>
      <c r="VYK7" s="20"/>
      <c r="VYL7" s="20"/>
      <c r="VYM7" s="20"/>
      <c r="VYN7" s="20"/>
      <c r="VYO7" s="20"/>
      <c r="VYP7" s="20"/>
      <c r="VYQ7" s="20"/>
      <c r="VYR7" s="20"/>
      <c r="VYS7" s="20"/>
      <c r="VYT7" s="20"/>
      <c r="VYU7" s="20"/>
      <c r="VYV7" s="20"/>
      <c r="VYW7" s="20"/>
      <c r="VYX7" s="20"/>
      <c r="VYY7" s="20"/>
      <c r="VYZ7" s="20"/>
      <c r="VZA7" s="20"/>
      <c r="VZB7" s="20"/>
      <c r="VZC7" s="20"/>
      <c r="VZD7" s="20"/>
      <c r="VZE7" s="20"/>
      <c r="VZF7" s="20"/>
      <c r="VZG7" s="20"/>
      <c r="VZH7" s="20"/>
      <c r="VZI7" s="20"/>
      <c r="VZJ7" s="20"/>
      <c r="VZK7" s="20"/>
      <c r="VZL7" s="20"/>
      <c r="VZM7" s="20"/>
      <c r="VZN7" s="20"/>
      <c r="VZO7" s="20"/>
      <c r="VZP7" s="20"/>
      <c r="VZQ7" s="20"/>
      <c r="VZR7" s="20"/>
      <c r="VZS7" s="20"/>
      <c r="VZT7" s="20"/>
      <c r="VZU7" s="20"/>
      <c r="VZV7" s="20"/>
      <c r="VZW7" s="20"/>
      <c r="VZX7" s="20"/>
      <c r="VZY7" s="20"/>
      <c r="VZZ7" s="20"/>
      <c r="WAA7" s="20"/>
      <c r="WAB7" s="20"/>
      <c r="WAC7" s="20"/>
      <c r="WAD7" s="20"/>
      <c r="WAE7" s="20"/>
      <c r="WAF7" s="20"/>
      <c r="WAG7" s="20"/>
      <c r="WAH7" s="20"/>
      <c r="WAI7" s="20"/>
      <c r="WAJ7" s="20"/>
      <c r="WAK7" s="20"/>
      <c r="WAL7" s="20"/>
      <c r="WAM7" s="20"/>
      <c r="WAN7" s="20"/>
      <c r="WAO7" s="20"/>
      <c r="WAP7" s="20"/>
      <c r="WAQ7" s="20"/>
      <c r="WAR7" s="20"/>
      <c r="WAS7" s="20"/>
      <c r="WAT7" s="20"/>
      <c r="WAU7" s="20"/>
      <c r="WAV7" s="20"/>
      <c r="WAW7" s="20"/>
      <c r="WAX7" s="20"/>
      <c r="WAY7" s="20"/>
      <c r="WAZ7" s="20"/>
      <c r="WBA7" s="20"/>
      <c r="WBB7" s="20"/>
      <c r="WBC7" s="20"/>
      <c r="WBD7" s="20"/>
      <c r="WBE7" s="20"/>
      <c r="WBF7" s="20"/>
      <c r="WBG7" s="20"/>
      <c r="WBH7" s="20"/>
      <c r="WBI7" s="20"/>
      <c r="WBJ7" s="20"/>
      <c r="WBK7" s="20"/>
      <c r="WBL7" s="20"/>
      <c r="WBM7" s="20"/>
      <c r="WBN7" s="20"/>
      <c r="WBO7" s="20"/>
      <c r="WBP7" s="20"/>
      <c r="WBQ7" s="20"/>
      <c r="WBR7" s="20"/>
      <c r="WBS7" s="20"/>
      <c r="WBT7" s="20"/>
      <c r="WBU7" s="20"/>
      <c r="WBV7" s="20"/>
      <c r="WBW7" s="20"/>
      <c r="WBX7" s="20"/>
      <c r="WBY7" s="20"/>
      <c r="WBZ7" s="20"/>
      <c r="WCA7" s="20"/>
      <c r="WCB7" s="20"/>
      <c r="WCC7" s="20"/>
      <c r="WCD7" s="20"/>
      <c r="WCE7" s="20"/>
      <c r="WCF7" s="20"/>
      <c r="WCG7" s="20"/>
      <c r="WCH7" s="20"/>
      <c r="WCI7" s="20"/>
      <c r="WCJ7" s="20"/>
      <c r="WCK7" s="20"/>
      <c r="WCL7" s="20"/>
      <c r="WCM7" s="20"/>
      <c r="WCN7" s="20"/>
      <c r="WCO7" s="20"/>
      <c r="WCP7" s="20"/>
      <c r="WCQ7" s="20"/>
      <c r="WCR7" s="20"/>
      <c r="WCS7" s="20"/>
      <c r="WCT7" s="20"/>
      <c r="WCU7" s="20"/>
      <c r="WCV7" s="20"/>
      <c r="WCW7" s="20"/>
      <c r="WCX7" s="20"/>
      <c r="WCY7" s="20"/>
      <c r="WCZ7" s="20"/>
      <c r="WDA7" s="20"/>
      <c r="WDB7" s="20"/>
      <c r="WDC7" s="20"/>
      <c r="WDD7" s="20"/>
      <c r="WDE7" s="20"/>
      <c r="WDF7" s="20"/>
      <c r="WDG7" s="20"/>
      <c r="WDH7" s="20"/>
      <c r="WDI7" s="20"/>
      <c r="WDJ7" s="20"/>
      <c r="WDK7" s="20"/>
      <c r="WDL7" s="20"/>
      <c r="WDM7" s="20"/>
      <c r="WDN7" s="20"/>
      <c r="WDO7" s="20"/>
      <c r="WDP7" s="20"/>
      <c r="WDQ7" s="20"/>
      <c r="WDR7" s="20"/>
      <c r="WDS7" s="20"/>
      <c r="WDT7" s="20"/>
      <c r="WDU7" s="20"/>
      <c r="WDV7" s="20"/>
      <c r="WDW7" s="20"/>
      <c r="WDX7" s="20"/>
      <c r="WDY7" s="20"/>
      <c r="WDZ7" s="20"/>
      <c r="WEA7" s="20"/>
      <c r="WEB7" s="20"/>
      <c r="WEC7" s="20"/>
      <c r="WED7" s="20"/>
      <c r="WEE7" s="20"/>
      <c r="WEF7" s="20"/>
      <c r="WEG7" s="20"/>
      <c r="WEH7" s="20"/>
      <c r="WEI7" s="20"/>
      <c r="WEJ7" s="20"/>
      <c r="WEK7" s="20"/>
      <c r="WEL7" s="20"/>
      <c r="WEM7" s="20"/>
      <c r="WEN7" s="20"/>
      <c r="WEO7" s="20"/>
      <c r="WEP7" s="20"/>
      <c r="WEQ7" s="20"/>
      <c r="WER7" s="20"/>
      <c r="WES7" s="20"/>
      <c r="WET7" s="20"/>
      <c r="WEU7" s="20"/>
      <c r="WEV7" s="20"/>
      <c r="WEW7" s="20"/>
      <c r="WEX7" s="20"/>
      <c r="WEY7" s="20"/>
      <c r="WEZ7" s="20"/>
      <c r="WFA7" s="20"/>
      <c r="WFB7" s="20"/>
      <c r="WFC7" s="20"/>
      <c r="WFD7" s="20"/>
      <c r="WFE7" s="20"/>
      <c r="WFF7" s="20"/>
      <c r="WFG7" s="20"/>
      <c r="WFH7" s="20"/>
      <c r="WFI7" s="20"/>
      <c r="WFJ7" s="20"/>
      <c r="WFK7" s="20"/>
      <c r="WFL7" s="20"/>
      <c r="WFM7" s="20"/>
      <c r="WFN7" s="20"/>
      <c r="WFO7" s="20"/>
      <c r="WFP7" s="20"/>
      <c r="WFQ7" s="20"/>
      <c r="WFR7" s="20"/>
      <c r="WFS7" s="20"/>
      <c r="WFT7" s="20"/>
      <c r="WFU7" s="20"/>
      <c r="WFV7" s="20"/>
      <c r="WFW7" s="20"/>
      <c r="WFX7" s="20"/>
      <c r="WFY7" s="20"/>
      <c r="WFZ7" s="20"/>
      <c r="WGA7" s="20"/>
      <c r="WGB7" s="20"/>
      <c r="WGC7" s="20"/>
      <c r="WGD7" s="20"/>
      <c r="WGE7" s="20"/>
      <c r="WGF7" s="20"/>
      <c r="WGG7" s="20"/>
      <c r="WGH7" s="20"/>
      <c r="WGI7" s="20"/>
      <c r="WGJ7" s="20"/>
      <c r="WGK7" s="20"/>
      <c r="WGL7" s="20"/>
      <c r="WGM7" s="20"/>
      <c r="WGN7" s="20"/>
      <c r="WGO7" s="20"/>
      <c r="WGP7" s="20"/>
      <c r="WGQ7" s="20"/>
      <c r="WGR7" s="20"/>
      <c r="WGS7" s="20"/>
      <c r="WGT7" s="20"/>
      <c r="WGU7" s="20"/>
      <c r="WGV7" s="20"/>
      <c r="WGW7" s="20"/>
      <c r="WGX7" s="20"/>
      <c r="WGY7" s="20"/>
      <c r="WGZ7" s="20"/>
      <c r="WHA7" s="20"/>
      <c r="WHB7" s="20"/>
      <c r="WHC7" s="20"/>
      <c r="WHD7" s="20"/>
      <c r="WHE7" s="20"/>
      <c r="WHF7" s="20"/>
      <c r="WHG7" s="20"/>
      <c r="WHH7" s="20"/>
      <c r="WHI7" s="20"/>
      <c r="WHJ7" s="20"/>
      <c r="WHK7" s="20"/>
      <c r="WHL7" s="20"/>
      <c r="WHM7" s="20"/>
      <c r="WHN7" s="20"/>
      <c r="WHO7" s="20"/>
      <c r="WHP7" s="20"/>
      <c r="WHQ7" s="20"/>
      <c r="WHR7" s="20"/>
      <c r="WHS7" s="20"/>
      <c r="WHT7" s="20"/>
      <c r="WHU7" s="20"/>
      <c r="WHV7" s="20"/>
      <c r="WHW7" s="20"/>
      <c r="WHX7" s="20"/>
      <c r="WHY7" s="20"/>
      <c r="WHZ7" s="20"/>
      <c r="WIA7" s="20"/>
      <c r="WIB7" s="20"/>
      <c r="WIC7" s="20"/>
      <c r="WID7" s="20"/>
      <c r="WIE7" s="20"/>
      <c r="WIF7" s="20"/>
      <c r="WIG7" s="20"/>
      <c r="WIH7" s="20"/>
      <c r="WII7" s="20"/>
      <c r="WIJ7" s="20"/>
      <c r="WIK7" s="20"/>
      <c r="WIL7" s="20"/>
      <c r="WIM7" s="20"/>
      <c r="WIN7" s="20"/>
      <c r="WIO7" s="20"/>
      <c r="WIP7" s="20"/>
      <c r="WIQ7" s="20"/>
      <c r="WIR7" s="20"/>
      <c r="WIS7" s="20"/>
      <c r="WIT7" s="20"/>
      <c r="WIU7" s="20"/>
      <c r="WIV7" s="20"/>
      <c r="WIW7" s="20"/>
      <c r="WIX7" s="20"/>
      <c r="WIY7" s="20"/>
      <c r="WIZ7" s="20"/>
      <c r="WJA7" s="20"/>
      <c r="WJB7" s="20"/>
      <c r="WJC7" s="20"/>
      <c r="WJD7" s="20"/>
      <c r="WJE7" s="20"/>
      <c r="WJF7" s="20"/>
      <c r="WJG7" s="20"/>
      <c r="WJH7" s="20"/>
      <c r="WJI7" s="20"/>
      <c r="WJJ7" s="20"/>
      <c r="WJK7" s="20"/>
      <c r="WJL7" s="20"/>
      <c r="WJM7" s="20"/>
      <c r="WJN7" s="20"/>
      <c r="WJO7" s="20"/>
      <c r="WJP7" s="20"/>
      <c r="WJQ7" s="20"/>
      <c r="WJR7" s="20"/>
      <c r="WJS7" s="20"/>
      <c r="WJT7" s="20"/>
      <c r="WJU7" s="20"/>
      <c r="WJV7" s="20"/>
      <c r="WJW7" s="20"/>
      <c r="WJX7" s="20"/>
      <c r="WJY7" s="20"/>
      <c r="WJZ7" s="20"/>
      <c r="WKA7" s="20"/>
      <c r="WKB7" s="20"/>
      <c r="WKC7" s="20"/>
      <c r="WKD7" s="20"/>
      <c r="WKE7" s="20"/>
      <c r="WKF7" s="20"/>
      <c r="WKG7" s="20"/>
      <c r="WKH7" s="20"/>
      <c r="WKI7" s="20"/>
      <c r="WKJ7" s="20"/>
      <c r="WKK7" s="20"/>
      <c r="WKL7" s="20"/>
      <c r="WKM7" s="20"/>
      <c r="WKN7" s="20"/>
      <c r="WKO7" s="20"/>
      <c r="WKP7" s="20"/>
      <c r="WKQ7" s="20"/>
      <c r="WKR7" s="20"/>
      <c r="WKS7" s="20"/>
      <c r="WKT7" s="20"/>
      <c r="WKU7" s="20"/>
      <c r="WKV7" s="20"/>
      <c r="WKW7" s="20"/>
      <c r="WKX7" s="20"/>
      <c r="WKY7" s="20"/>
      <c r="WKZ7" s="20"/>
      <c r="WLA7" s="20"/>
      <c r="WLB7" s="20"/>
      <c r="WLC7" s="20"/>
      <c r="WLD7" s="20"/>
      <c r="WLE7" s="20"/>
      <c r="WLF7" s="20"/>
      <c r="WLG7" s="20"/>
      <c r="WLH7" s="20"/>
      <c r="WLI7" s="20"/>
      <c r="WLJ7" s="20"/>
      <c r="WLK7" s="20"/>
      <c r="WLL7" s="20"/>
      <c r="WLM7" s="20"/>
      <c r="WLN7" s="20"/>
      <c r="WLO7" s="20"/>
      <c r="WLP7" s="20"/>
      <c r="WLQ7" s="20"/>
      <c r="WLR7" s="20"/>
      <c r="WLS7" s="20"/>
      <c r="WLT7" s="20"/>
      <c r="WLU7" s="20"/>
      <c r="WLV7" s="20"/>
      <c r="WLW7" s="20"/>
      <c r="WLX7" s="20"/>
      <c r="WLY7" s="20"/>
      <c r="WLZ7" s="20"/>
      <c r="WMA7" s="20"/>
      <c r="WMB7" s="20"/>
      <c r="WMC7" s="20"/>
      <c r="WMD7" s="20"/>
      <c r="WME7" s="20"/>
      <c r="WMF7" s="20"/>
      <c r="WMG7" s="20"/>
      <c r="WMH7" s="20"/>
      <c r="WMI7" s="20"/>
      <c r="WMJ7" s="20"/>
      <c r="WMK7" s="20"/>
      <c r="WML7" s="20"/>
      <c r="WMM7" s="20"/>
      <c r="WMN7" s="20"/>
      <c r="WMO7" s="20"/>
      <c r="WMP7" s="20"/>
      <c r="WMQ7" s="20"/>
      <c r="WMR7" s="20"/>
      <c r="WMS7" s="20"/>
      <c r="WMT7" s="20"/>
      <c r="WMU7" s="20"/>
      <c r="WMV7" s="20"/>
      <c r="WMW7" s="20"/>
      <c r="WMX7" s="20"/>
      <c r="WMY7" s="20"/>
      <c r="WMZ7" s="20"/>
      <c r="WNA7" s="20"/>
      <c r="WNB7" s="20"/>
      <c r="WNC7" s="20"/>
      <c r="WND7" s="20"/>
      <c r="WNE7" s="20"/>
      <c r="WNF7" s="20"/>
      <c r="WNG7" s="20"/>
      <c r="WNH7" s="20"/>
      <c r="WNI7" s="20"/>
      <c r="WNJ7" s="20"/>
      <c r="WNK7" s="20"/>
      <c r="WNL7" s="20"/>
      <c r="WNM7" s="20"/>
      <c r="WNN7" s="20"/>
      <c r="WNO7" s="20"/>
      <c r="WNP7" s="20"/>
      <c r="WNQ7" s="20"/>
      <c r="WNR7" s="20"/>
      <c r="WNS7" s="20"/>
      <c r="WNT7" s="20"/>
      <c r="WNU7" s="20"/>
      <c r="WNV7" s="20"/>
      <c r="WNW7" s="20"/>
      <c r="WNX7" s="20"/>
      <c r="WNY7" s="20"/>
      <c r="WNZ7" s="20"/>
      <c r="WOA7" s="20"/>
      <c r="WOB7" s="20"/>
      <c r="WOC7" s="20"/>
      <c r="WOD7" s="20"/>
      <c r="WOE7" s="20"/>
      <c r="WOF7" s="20"/>
      <c r="WOG7" s="20"/>
      <c r="WOH7" s="20"/>
      <c r="WOI7" s="20"/>
      <c r="WOJ7" s="20"/>
      <c r="WOK7" s="20"/>
      <c r="WOL7" s="20"/>
      <c r="WOM7" s="20"/>
      <c r="WON7" s="20"/>
      <c r="WOO7" s="20"/>
      <c r="WOP7" s="20"/>
      <c r="WOQ7" s="20"/>
      <c r="WOR7" s="20"/>
      <c r="WOS7" s="20"/>
      <c r="WOT7" s="20"/>
      <c r="WOU7" s="20"/>
      <c r="WOV7" s="20"/>
      <c r="WOW7" s="20"/>
      <c r="WOX7" s="20"/>
      <c r="WOY7" s="20"/>
      <c r="WOZ7" s="20"/>
      <c r="WPA7" s="20"/>
      <c r="WPB7" s="20"/>
      <c r="WPC7" s="20"/>
      <c r="WPD7" s="20"/>
      <c r="WPE7" s="20"/>
      <c r="WPF7" s="20"/>
      <c r="WPG7" s="20"/>
      <c r="WPH7" s="20"/>
      <c r="WPI7" s="20"/>
      <c r="WPJ7" s="20"/>
      <c r="WPK7" s="20"/>
      <c r="WPL7" s="20"/>
      <c r="WPM7" s="20"/>
      <c r="WPN7" s="20"/>
      <c r="WPO7" s="20"/>
      <c r="WPP7" s="20"/>
      <c r="WPQ7" s="20"/>
      <c r="WPR7" s="20"/>
      <c r="WPS7" s="20"/>
      <c r="WPT7" s="20"/>
      <c r="WPU7" s="20"/>
      <c r="WPV7" s="20"/>
      <c r="WPW7" s="20"/>
      <c r="WPX7" s="20"/>
      <c r="WPY7" s="20"/>
      <c r="WPZ7" s="20"/>
      <c r="WQA7" s="20"/>
      <c r="WQB7" s="20"/>
      <c r="WQC7" s="20"/>
      <c r="WQD7" s="20"/>
      <c r="WQE7" s="20"/>
      <c r="WQF7" s="20"/>
      <c r="WQG7" s="20"/>
      <c r="WQH7" s="20"/>
      <c r="WQI7" s="20"/>
      <c r="WQJ7" s="20"/>
      <c r="WQK7" s="20"/>
      <c r="WQL7" s="20"/>
      <c r="WQM7" s="20"/>
      <c r="WQN7" s="20"/>
      <c r="WQO7" s="20"/>
      <c r="WQP7" s="20"/>
      <c r="WQQ7" s="20"/>
      <c r="WQR7" s="20"/>
      <c r="WQS7" s="20"/>
      <c r="WQT7" s="20"/>
      <c r="WQU7" s="20"/>
      <c r="WQV7" s="20"/>
      <c r="WQW7" s="20"/>
      <c r="WQX7" s="20"/>
      <c r="WQY7" s="20"/>
      <c r="WQZ7" s="20"/>
      <c r="WRA7" s="20"/>
      <c r="WRB7" s="20"/>
      <c r="WRC7" s="20"/>
      <c r="WRD7" s="20"/>
      <c r="WRE7" s="20"/>
      <c r="WRF7" s="20"/>
      <c r="WRG7" s="20"/>
      <c r="WRH7" s="20"/>
      <c r="WRI7" s="20"/>
      <c r="WRJ7" s="20"/>
      <c r="WRK7" s="20"/>
      <c r="WRL7" s="20"/>
      <c r="WRM7" s="20"/>
      <c r="WRN7" s="20"/>
      <c r="WRO7" s="20"/>
      <c r="WRP7" s="20"/>
      <c r="WRQ7" s="20"/>
      <c r="WRR7" s="20"/>
      <c r="WRS7" s="20"/>
      <c r="WRT7" s="20"/>
      <c r="WRU7" s="20"/>
      <c r="WRV7" s="20"/>
      <c r="WRW7" s="20"/>
      <c r="WRX7" s="20"/>
      <c r="WRY7" s="20"/>
      <c r="WRZ7" s="20"/>
      <c r="WSA7" s="20"/>
      <c r="WSB7" s="20"/>
      <c r="WSC7" s="20"/>
      <c r="WSD7" s="20"/>
      <c r="WSE7" s="20"/>
      <c r="WSF7" s="20"/>
      <c r="WSG7" s="20"/>
      <c r="WSH7" s="20"/>
      <c r="WSI7" s="20"/>
      <c r="WSJ7" s="20"/>
      <c r="WSK7" s="20"/>
      <c r="WSL7" s="20"/>
      <c r="WSM7" s="20"/>
      <c r="WSN7" s="20"/>
      <c r="WSO7" s="20"/>
      <c r="WSP7" s="20"/>
      <c r="WSQ7" s="20"/>
      <c r="WSR7" s="20"/>
      <c r="WSS7" s="20"/>
      <c r="WST7" s="20"/>
      <c r="WSU7" s="20"/>
      <c r="WSV7" s="20"/>
      <c r="WSW7" s="20"/>
      <c r="WSX7" s="20"/>
      <c r="WSY7" s="20"/>
      <c r="WSZ7" s="20"/>
      <c r="WTA7" s="20"/>
      <c r="WTB7" s="20"/>
      <c r="WTC7" s="20"/>
      <c r="WTD7" s="20"/>
      <c r="WTE7" s="20"/>
      <c r="WTF7" s="20"/>
      <c r="WTG7" s="20"/>
      <c r="WTH7" s="20"/>
      <c r="WTI7" s="20"/>
      <c r="WTJ7" s="20"/>
      <c r="WTK7" s="20"/>
      <c r="WTL7" s="20"/>
      <c r="WTM7" s="20"/>
      <c r="WTN7" s="20"/>
      <c r="WTO7" s="20"/>
      <c r="WTP7" s="20"/>
      <c r="WTQ7" s="20"/>
      <c r="WTR7" s="20"/>
      <c r="WTS7" s="20"/>
      <c r="WTT7" s="20"/>
      <c r="WTU7" s="20"/>
      <c r="WTV7" s="20"/>
      <c r="WTW7" s="20"/>
      <c r="WTX7" s="20"/>
      <c r="WTY7" s="20"/>
      <c r="WTZ7" s="20"/>
      <c r="WUA7" s="20"/>
      <c r="WUB7" s="20"/>
      <c r="WUC7" s="20"/>
      <c r="WUD7" s="20"/>
      <c r="WUE7" s="20"/>
      <c r="WUF7" s="20"/>
      <c r="WUG7" s="20"/>
      <c r="WUH7" s="20"/>
      <c r="WUI7" s="20"/>
      <c r="WUJ7" s="20"/>
      <c r="WUK7" s="20"/>
      <c r="WUL7" s="20"/>
      <c r="WUM7" s="20"/>
      <c r="WUN7" s="20"/>
      <c r="WUO7" s="20"/>
      <c r="WUP7" s="20"/>
      <c r="WUQ7" s="20"/>
      <c r="WUR7" s="20"/>
      <c r="WUS7" s="20"/>
      <c r="WUT7" s="20"/>
      <c r="WUU7" s="20"/>
      <c r="WUV7" s="20"/>
      <c r="WUW7" s="20"/>
      <c r="WUX7" s="20"/>
      <c r="WUY7" s="20"/>
      <c r="WUZ7" s="20"/>
      <c r="WVA7" s="20"/>
      <c r="WVB7" s="20"/>
      <c r="WVC7" s="20"/>
      <c r="WVD7" s="20"/>
      <c r="WVE7" s="20"/>
      <c r="WVF7" s="20"/>
      <c r="WVG7" s="20"/>
      <c r="WVH7" s="20"/>
      <c r="WVI7" s="20"/>
      <c r="WVJ7" s="20"/>
      <c r="WVK7" s="20"/>
      <c r="WVL7" s="20"/>
      <c r="WVM7" s="20"/>
      <c r="WVN7" s="20"/>
      <c r="WVO7" s="20"/>
      <c r="WVP7" s="20"/>
      <c r="WVQ7" s="20"/>
      <c r="WVR7" s="20"/>
      <c r="WVS7" s="20"/>
      <c r="WVT7" s="20"/>
      <c r="WVU7" s="20"/>
      <c r="WVV7" s="20"/>
      <c r="WVW7" s="20"/>
      <c r="WVX7" s="20"/>
      <c r="WVY7" s="20"/>
      <c r="WVZ7" s="20"/>
      <c r="WWA7" s="20"/>
      <c r="WWB7" s="20"/>
      <c r="WWC7" s="20"/>
      <c r="WWD7" s="20"/>
      <c r="WWE7" s="20"/>
      <c r="WWF7" s="20"/>
      <c r="WWG7" s="20"/>
      <c r="WWH7" s="20"/>
      <c r="WWI7" s="20"/>
      <c r="WWJ7" s="20"/>
      <c r="WWK7" s="20"/>
      <c r="WWL7" s="20"/>
      <c r="WWM7" s="20"/>
      <c r="WWN7" s="20"/>
      <c r="WWO7" s="20"/>
      <c r="WWP7" s="20"/>
      <c r="WWQ7" s="20"/>
      <c r="WWR7" s="20"/>
      <c r="WWS7" s="20"/>
      <c r="WWT7" s="20"/>
      <c r="WWU7" s="20"/>
      <c r="WWV7" s="20"/>
      <c r="WWW7" s="20"/>
      <c r="WWX7" s="20"/>
      <c r="WWY7" s="20"/>
      <c r="WWZ7" s="20"/>
      <c r="WXA7" s="20"/>
      <c r="WXB7" s="20"/>
      <c r="WXC7" s="20"/>
      <c r="WXD7" s="20"/>
      <c r="WXE7" s="20"/>
      <c r="WXF7" s="20"/>
      <c r="WXG7" s="20"/>
      <c r="WXH7" s="20"/>
      <c r="WXI7" s="20"/>
      <c r="WXJ7" s="20"/>
      <c r="WXK7" s="20"/>
      <c r="WXL7" s="20"/>
      <c r="WXM7" s="20"/>
      <c r="WXN7" s="20"/>
      <c r="WXO7" s="20"/>
      <c r="WXP7" s="20"/>
      <c r="WXQ7" s="20"/>
      <c r="WXR7" s="20"/>
      <c r="WXS7" s="20"/>
      <c r="WXT7" s="20"/>
      <c r="WXU7" s="20"/>
      <c r="WXV7" s="20"/>
      <c r="WXW7" s="20"/>
      <c r="WXX7" s="20"/>
      <c r="WXY7" s="20"/>
      <c r="WXZ7" s="20"/>
      <c r="WYA7" s="20"/>
      <c r="WYB7" s="20"/>
      <c r="WYC7" s="20"/>
      <c r="WYD7" s="20"/>
      <c r="WYE7" s="20"/>
      <c r="WYF7" s="20"/>
      <c r="WYG7" s="20"/>
      <c r="WYH7" s="20"/>
      <c r="WYI7" s="20"/>
      <c r="WYJ7" s="20"/>
      <c r="WYK7" s="20"/>
      <c r="WYL7" s="20"/>
      <c r="WYM7" s="20"/>
      <c r="WYN7" s="20"/>
      <c r="WYO7" s="20"/>
      <c r="WYP7" s="20"/>
      <c r="WYQ7" s="20"/>
      <c r="WYR7" s="20"/>
      <c r="WYS7" s="20"/>
      <c r="WYT7" s="20"/>
      <c r="WYU7" s="20"/>
      <c r="WYV7" s="20"/>
      <c r="WYW7" s="20"/>
      <c r="WYX7" s="20"/>
      <c r="WYY7" s="20"/>
      <c r="WYZ7" s="20"/>
      <c r="WZA7" s="20"/>
      <c r="WZB7" s="20"/>
      <c r="WZC7" s="20"/>
      <c r="WZD7" s="20"/>
      <c r="WZE7" s="20"/>
      <c r="WZF7" s="20"/>
      <c r="WZG7" s="20"/>
      <c r="WZH7" s="20"/>
      <c r="WZI7" s="20"/>
      <c r="WZJ7" s="20"/>
      <c r="WZK7" s="20"/>
      <c r="WZL7" s="20"/>
      <c r="WZM7" s="20"/>
      <c r="WZN7" s="20"/>
      <c r="WZO7" s="20"/>
      <c r="WZP7" s="20"/>
      <c r="WZQ7" s="20"/>
      <c r="WZR7" s="20"/>
      <c r="WZS7" s="20"/>
      <c r="WZT7" s="20"/>
      <c r="WZU7" s="20"/>
      <c r="WZV7" s="20"/>
      <c r="WZW7" s="20"/>
      <c r="WZX7" s="20"/>
      <c r="WZY7" s="20"/>
      <c r="WZZ7" s="20"/>
      <c r="XAA7" s="20"/>
      <c r="XAB7" s="20"/>
      <c r="XAC7" s="20"/>
      <c r="XAD7" s="20"/>
      <c r="XAE7" s="20"/>
      <c r="XAF7" s="20"/>
      <c r="XAG7" s="20"/>
      <c r="XAH7" s="20"/>
      <c r="XAI7" s="20"/>
      <c r="XAJ7" s="20"/>
      <c r="XAK7" s="20"/>
      <c r="XAL7" s="20"/>
      <c r="XAM7" s="20"/>
      <c r="XAN7" s="20"/>
      <c r="XAO7" s="20"/>
      <c r="XAP7" s="20"/>
      <c r="XAQ7" s="20"/>
      <c r="XAR7" s="20"/>
      <c r="XAS7" s="20"/>
      <c r="XAT7" s="20"/>
      <c r="XAU7" s="20"/>
      <c r="XAV7" s="20"/>
      <c r="XAW7" s="20"/>
      <c r="XAX7" s="20"/>
      <c r="XAY7" s="20"/>
      <c r="XAZ7" s="20"/>
      <c r="XBA7" s="20"/>
      <c r="XBB7" s="20"/>
      <c r="XBC7" s="20"/>
      <c r="XBD7" s="20"/>
      <c r="XBE7" s="20"/>
      <c r="XBF7" s="20"/>
      <c r="XBG7" s="20"/>
      <c r="XBH7" s="20"/>
      <c r="XBI7" s="20"/>
      <c r="XBJ7" s="20"/>
      <c r="XBK7" s="20"/>
      <c r="XBL7" s="20"/>
      <c r="XBM7" s="20"/>
      <c r="XBN7" s="20"/>
      <c r="XBO7" s="20"/>
      <c r="XBP7" s="20"/>
      <c r="XBQ7" s="20"/>
      <c r="XBR7" s="20"/>
      <c r="XBS7" s="20"/>
      <c r="XBT7" s="20"/>
      <c r="XBU7" s="20"/>
      <c r="XBV7" s="20"/>
      <c r="XBW7" s="20"/>
      <c r="XBX7" s="20"/>
      <c r="XBY7" s="20"/>
      <c r="XBZ7" s="20"/>
      <c r="XCA7" s="20"/>
      <c r="XCB7" s="20"/>
      <c r="XCC7" s="20"/>
      <c r="XCD7" s="20"/>
      <c r="XCE7" s="20"/>
      <c r="XCF7" s="20"/>
      <c r="XCG7" s="20"/>
      <c r="XCH7" s="20"/>
      <c r="XCI7" s="20"/>
      <c r="XCJ7" s="20"/>
      <c r="XCK7" s="20"/>
      <c r="XCL7" s="20"/>
      <c r="XCM7" s="20"/>
      <c r="XCN7" s="20"/>
      <c r="XCO7" s="20"/>
      <c r="XCP7" s="20"/>
      <c r="XCQ7" s="20"/>
      <c r="XCR7" s="20"/>
      <c r="XCS7" s="20"/>
      <c r="XCT7" s="20"/>
      <c r="XCU7" s="20"/>
      <c r="XCV7" s="20"/>
      <c r="XCW7" s="20"/>
      <c r="XCX7" s="20"/>
      <c r="XCY7" s="20"/>
      <c r="XCZ7" s="20"/>
      <c r="XDA7" s="20"/>
      <c r="XDB7" s="20"/>
      <c r="XDC7" s="20"/>
      <c r="XDD7" s="20"/>
      <c r="XDE7" s="20"/>
      <c r="XDF7" s="20"/>
      <c r="XDG7" s="20"/>
      <c r="XDH7" s="20"/>
      <c r="XDI7" s="20"/>
      <c r="XDJ7" s="20"/>
      <c r="XDK7" s="20"/>
      <c r="XDL7" s="20"/>
      <c r="XDM7" s="20"/>
      <c r="XDN7" s="20"/>
      <c r="XDO7" s="20"/>
      <c r="XDP7" s="20"/>
      <c r="XDQ7" s="20"/>
      <c r="XDR7" s="20"/>
      <c r="XDS7" s="20"/>
      <c r="XDT7" s="20"/>
      <c r="XDU7" s="20"/>
      <c r="XDV7" s="20"/>
      <c r="XDW7" s="20"/>
      <c r="XDX7" s="20"/>
      <c r="XDY7" s="20"/>
      <c r="XDZ7" s="20"/>
      <c r="XEA7" s="20"/>
      <c r="XEB7" s="20"/>
      <c r="XEC7" s="20"/>
      <c r="XED7" s="20"/>
      <c r="XEE7" s="20"/>
      <c r="XEF7" s="20"/>
      <c r="XEG7" s="20"/>
      <c r="XEH7" s="20"/>
      <c r="XEI7" s="20"/>
      <c r="XEJ7" s="20"/>
      <c r="XEK7" s="20"/>
      <c r="XEL7" s="20"/>
      <c r="XEM7" s="20"/>
      <c r="XEN7" s="20"/>
      <c r="XEO7" s="20"/>
      <c r="XEP7" s="20"/>
      <c r="XEQ7" s="20"/>
      <c r="XER7" s="20"/>
      <c r="XES7" s="20"/>
      <c r="XET7" s="20"/>
      <c r="XEU7" s="20"/>
      <c r="XEV7" s="20"/>
      <c r="XEW7" s="20"/>
      <c r="XEX7" s="20"/>
      <c r="XEY7" s="20"/>
      <c r="XEZ7" s="20"/>
      <c r="XFA7" s="20"/>
      <c r="XFB7" s="20"/>
    </row>
    <row r="8" ht="26.25" customHeight="1" spans="1:1024 1025:16382">
      <c r="A8" s="58" t="s">
        <v>17</v>
      </c>
      <c r="B8" s="41">
        <f>COUNTIFS('Data pivot'!$B:$B,"&gt;10000",'Data pivot'!$B:$B,"&lt;25000")</f>
        <v>21</v>
      </c>
      <c r="C8" s="42">
        <f>SUMIFS('Data pivot'!$B:$B,'Data pivot'!$B:$B,"&gt;10000",'Data pivot'!$B:$B,"&lt;25000")</f>
        <v>318486.558219178</v>
      </c>
      <c r="D8" s="52">
        <f>COUNTIFS('Data pivot'!$G:$G,"&gt;10000",'Data pivot'!$G:$G,"&lt;25000")</f>
        <v>16</v>
      </c>
      <c r="E8" s="53">
        <f>SUMIFS('Data pivot'!$J:$J,'Data pivot'!$K:$K,"&gt;10000",'Data pivot'!$K:$K,"&lt;25000")</f>
        <v>36</v>
      </c>
      <c r="F8" s="52">
        <f>COUNTIFS('Data pivot'!$O:$O,"&gt;10000",'Data pivot'!$O:$O,"&lt;25000")</f>
        <v>4</v>
      </c>
      <c r="G8" s="44">
        <f t="shared" ref="G8" si="3">C8/D8</f>
        <v>19905.4098886986</v>
      </c>
      <c r="H8" s="45">
        <f t="shared" si="1"/>
        <v>2.25</v>
      </c>
    </row>
    <row r="9" ht="26.25" customHeight="1" spans="1:1024 1025:16382">
      <c r="A9" s="46" t="s">
        <v>18</v>
      </c>
      <c r="B9" s="47"/>
      <c r="C9" s="48"/>
      <c r="D9" s="56"/>
      <c r="E9" s="56"/>
      <c r="F9" s="56"/>
      <c r="G9" s="48"/>
      <c r="H9" s="50" t="e">
        <f t="shared" si="1"/>
        <v>#DIV/0!</v>
      </c>
    </row>
    <row r="10" ht="26.25" customHeight="1" spans="1:1024 1025:16382">
      <c r="A10" s="59" t="s">
        <v>19</v>
      </c>
      <c r="B10" s="41">
        <f>COUNTIFS('Data pivot'!$B:$B,"&gt;3000",'Data pivot'!$B:$B,"&lt;10000")</f>
        <v>84</v>
      </c>
      <c r="C10" s="42">
        <f>SUMIFS('Data pivot'!$B:$B,'Data pivot'!$B:$B,"&gt;3000",'Data pivot'!$B:$B,"&lt;10000")</f>
        <v>452548.287671233</v>
      </c>
      <c r="D10" s="52">
        <f>COUNTIFS('Data pivot'!$G:$G,"&gt;3000",'Data pivot'!$G:$G,"&lt;10000")</f>
        <v>97</v>
      </c>
      <c r="E10" s="53">
        <f>SUMIFS('Data pivot'!$J:$J,'Data pivot'!$K:$K,"&gt;3000",'Data pivot'!$K:$K,"&lt;10000")</f>
        <v>128</v>
      </c>
      <c r="F10" s="52">
        <f>COUNTIFS('Data pivot'!$O:$O,"&gt;3000",'Data pivot'!$O:$O,"&lt;10000")</f>
        <v>57</v>
      </c>
      <c r="G10" s="44">
        <f t="shared" ref="G10" si="4">C10/D10</f>
        <v>4665.44626465189</v>
      </c>
      <c r="H10" s="60">
        <f t="shared" si="1"/>
        <v>1.31958762886598</v>
      </c>
    </row>
    <row r="11" ht="26.25" customHeight="1" spans="1:1024 1025:16382">
      <c r="A11" s="55" t="s">
        <v>20</v>
      </c>
      <c r="B11" s="47"/>
      <c r="C11" s="48"/>
      <c r="D11" s="56"/>
      <c r="E11" s="56"/>
      <c r="F11" s="56"/>
      <c r="G11" s="48"/>
      <c r="H11" s="57" t="e">
        <f t="shared" si="1"/>
        <v>#DIV/0!</v>
      </c>
    </row>
    <row r="12" ht="26.25" customHeight="1" spans="1:1024 1025:16382">
      <c r="A12" s="58" t="s">
        <v>21</v>
      </c>
      <c r="B12" s="41">
        <f>COUNTIFS('Data pivot'!$B:$B,"&lt;3000")</f>
        <v>226</v>
      </c>
      <c r="C12" s="42">
        <f>SUMIFS('Data pivot'!$B:$B,'Data pivot'!$B:$B,"&lt;3000")</f>
        <v>244041.352739726</v>
      </c>
      <c r="D12" s="43">
        <f>COUNTIFS('Data pivot'!$G:$G,"&lt;3000")</f>
        <v>265</v>
      </c>
      <c r="E12" s="61">
        <f>SUMIFS('Data pivot'!$J:$J,'Data pivot'!$K:$K,"&lt;3000")</f>
        <v>313</v>
      </c>
      <c r="F12" s="43">
        <f>COUNTIFS('Data pivot'!$O:$O,"&lt;3000")</f>
        <v>28</v>
      </c>
      <c r="G12" s="44">
        <f t="shared" ref="G12" si="5">C12/D12</f>
        <v>920.91076505557</v>
      </c>
      <c r="H12" s="45">
        <f t="shared" si="1"/>
        <v>1.1811320754717</v>
      </c>
    </row>
    <row r="13" ht="26.25" customHeight="1" spans="1:1024 1025:16382">
      <c r="A13" s="46" t="s">
        <v>22</v>
      </c>
      <c r="B13" s="47"/>
      <c r="C13" s="48"/>
      <c r="D13" s="49"/>
      <c r="E13" s="49"/>
      <c r="F13" s="49"/>
      <c r="G13" s="48"/>
      <c r="H13" s="50" t="e">
        <f t="shared" si="1"/>
        <v>#DIV/0!</v>
      </c>
    </row>
    <row r="15" spans="1:1024 1025:16382">
      <c r="A15" s="18" t="s">
        <v>23</v>
      </c>
    </row>
    <row r="16" spans="1:1024 1025:16382">
      <c r="A16" s="62" t="s">
        <v>24</v>
      </c>
      <c r="B16" s="20" t="s">
        <v>25</v>
      </c>
      <c r="D16" s="63" t="s">
        <v>26</v>
      </c>
    </row>
    <row r="17" spans="1:4">
      <c r="B17" s="20" t="s">
        <v>27</v>
      </c>
      <c r="D17" s="63"/>
    </row>
    <row r="18" spans="1:4">
      <c r="A18" s="62" t="s">
        <v>28</v>
      </c>
      <c r="B18" s="20" t="s">
        <v>25</v>
      </c>
      <c r="D18" s="63"/>
    </row>
    <row r="19" spans="1:4">
      <c r="B19" s="20" t="s">
        <v>27</v>
      </c>
      <c r="D19" s="63"/>
    </row>
    <row r="20" spans="1:4">
      <c r="A20" s="62" t="s">
        <v>29</v>
      </c>
      <c r="D20" s="63"/>
    </row>
    <row r="22" spans="1:4">
      <c r="A22" s="62" t="s">
        <v>30</v>
      </c>
    </row>
    <row r="23" spans="1:4">
      <c r="A23" s="20" t="s">
        <v>31</v>
      </c>
    </row>
    <row r="24" spans="1:4">
      <c r="A24" s="20" t="s">
        <v>32</v>
      </c>
    </row>
    <row r="25" spans="1:4">
      <c r="A25" s="20" t="s">
        <v>33</v>
      </c>
    </row>
    <row r="26" spans="1:4">
      <c r="A26" s="20" t="s">
        <v>34</v>
      </c>
    </row>
    <row r="27" spans="1:4">
      <c r="A27" s="20" t="s">
        <v>35</v>
      </c>
    </row>
    <row r="28" spans="1:4">
      <c r="A28" s="20" t="s">
        <v>36</v>
      </c>
    </row>
    <row r="29" spans="1:4">
      <c r="A29" s="20" t="s">
        <v>37</v>
      </c>
    </row>
    <row r="30" spans="1:4">
      <c r="A30" s="20" t="s">
        <v>38</v>
      </c>
    </row>
    <row r="31" spans="1:4">
      <c r="A31" s="20" t="s">
        <v>39</v>
      </c>
    </row>
    <row r="32" spans="1:4">
      <c r="A32" s="20" t="s">
        <v>40</v>
      </c>
    </row>
    <row r="33" spans="1:1">
      <c r="A33" s="20" t="s">
        <v>41</v>
      </c>
    </row>
  </sheetData>
  <mergeCells count="41">
    <mergeCell ref="A1:A2"/>
    <mergeCell ref="B1:B2"/>
    <mergeCell ref="B4:B5"/>
    <mergeCell ref="B6:B7"/>
    <mergeCell ref="B8:B9"/>
    <mergeCell ref="B10:B11"/>
    <mergeCell ref="B12:B13"/>
    <mergeCell ref="C1:C2"/>
    <mergeCell ref="C4:C5"/>
    <mergeCell ref="C6:C7"/>
    <mergeCell ref="C8:C9"/>
    <mergeCell ref="C10:C11"/>
    <mergeCell ref="C12:C13"/>
    <mergeCell ref="D1:D2"/>
    <mergeCell ref="D4:D5"/>
    <mergeCell ref="D6:D7"/>
    <mergeCell ref="D8:D9"/>
    <mergeCell ref="D10:D11"/>
    <mergeCell ref="D12:D13"/>
    <mergeCell ref="D16:D20"/>
    <mergeCell ref="E1:E2"/>
    <mergeCell ref="E4:E5"/>
    <mergeCell ref="E6:E7"/>
    <mergeCell ref="E8:E9"/>
    <mergeCell ref="E10:E11"/>
    <mergeCell ref="E12:E13"/>
    <mergeCell ref="F4:F5"/>
    <mergeCell ref="F6:F7"/>
    <mergeCell ref="F8:F9"/>
    <mergeCell ref="F10:F11"/>
    <mergeCell ref="F12:F13"/>
    <mergeCell ref="G4:G5"/>
    <mergeCell ref="G6:G7"/>
    <mergeCell ref="G8:G9"/>
    <mergeCell ref="G10:G11"/>
    <mergeCell ref="G12:G13"/>
    <mergeCell ref="H4:H5"/>
    <mergeCell ref="H6:H7"/>
    <mergeCell ref="H8:H9"/>
    <mergeCell ref="H10:H11"/>
    <mergeCell ref="H12:H13"/>
  </mergeCells>
  <pageMargins left="0.7" right="0.7" top="0.75" bottom="0.75" header="0.3" footer="0.3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5"/>
  <sheetViews>
    <sheetView workbookViewId="0">
      <selection activeCell="C38" sqref="C38"/>
    </sheetView>
  </sheetViews>
  <sheetFormatPr defaultColWidth="9" defaultRowHeight="14.4" outlineLevelRow="4" outlineLevelCol="1"/>
  <cols>
    <col min="1" max="1" width="14.1388888888889" customWidth="1"/>
    <col min="2" max="2" width="16.8518518518519" customWidth="1"/>
  </cols>
  <sheetData>
    <row r="3" spans="1:2">
      <c r="A3" t="s">
        <v>42</v>
      </c>
      <c r="B3" t="s">
        <v>43</v>
      </c>
    </row>
    <row r="4" spans="1:2">
      <c r="A4" s="16" t="s">
        <v>44</v>
      </c>
      <c r="B4" s="3">
        <v>557747000</v>
      </c>
    </row>
    <row r="5" spans="1:2">
      <c r="A5" s="16" t="s">
        <v>45</v>
      </c>
      <c r="B5" s="17">
        <v>557747000</v>
      </c>
    </row>
  </sheetData>
  <pageMargins left="0.7" right="0.7" top="0.75" bottom="0.75" header="0.3" footer="0.3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5"/>
  <sheetViews>
    <sheetView workbookViewId="0">
      <pane xSplit="1" ySplit="12" topLeftCell="B13" activePane="bottomRight" state="frozen"/>
      <selection/>
      <selection pane="topRight"/>
      <selection pane="bottomLeft"/>
      <selection pane="bottomRight" activeCell="C38" sqref="C38"/>
    </sheetView>
  </sheetViews>
  <sheetFormatPr defaultColWidth="9" defaultRowHeight="14.4" outlineLevelRow="4" outlineLevelCol="1"/>
  <cols>
    <col min="1" max="1" width="14.1388888888889" customWidth="1"/>
    <col min="2" max="2" width="16.8518518518519" customWidth="1"/>
  </cols>
  <sheetData>
    <row r="3" spans="1:2">
      <c r="A3" t="s">
        <v>42</v>
      </c>
      <c r="B3" t="s">
        <v>43</v>
      </c>
    </row>
    <row r="4" spans="1:2">
      <c r="A4" s="16" t="s">
        <v>46</v>
      </c>
      <c r="B4" s="3">
        <v>557747000</v>
      </c>
    </row>
    <row r="5" spans="1:2">
      <c r="A5" s="16" t="s">
        <v>45</v>
      </c>
      <c r="B5" s="3">
        <v>557747000</v>
      </c>
    </row>
  </sheetData>
  <pageMargins left="0.7" right="0.7" top="0.75" bottom="0.75" header="0.3" footer="0.3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6"/>
  <sheetViews>
    <sheetView workbookViewId="0">
      <pane xSplit="2" ySplit="5" topLeftCell="C6" activePane="bottomRight" state="frozen"/>
      <selection/>
      <selection pane="topRight"/>
      <selection pane="bottomLeft"/>
      <selection pane="bottomRight" activeCell="G1" sqref="G1"/>
    </sheetView>
  </sheetViews>
  <sheetFormatPr defaultColWidth="9.13888888888889" defaultRowHeight="13.8"/>
  <cols>
    <col min="1" max="1" width="12.712962962963" style="7" customWidth="1"/>
    <col min="2" max="2" width="16.712962962963" style="7" customWidth="1"/>
    <col min="3" max="3" width="14.8518518518519" style="7" customWidth="1"/>
    <col min="4" max="4" width="45" style="7" customWidth="1"/>
    <col min="5" max="5" width="26.1388888888889" style="7" customWidth="1"/>
    <col min="6" max="6" width="23.287037037037" style="7" customWidth="1"/>
    <col min="7" max="7" width="12.4259259259259" style="7" customWidth="1"/>
    <col min="8" max="12" width="13.8518518518519" style="7" customWidth="1"/>
    <col min="13" max="13" width="11.5740740740741" style="7" customWidth="1"/>
    <col min="14" max="16384" width="9.13888888888889" style="7"/>
  </cols>
  <sheetData>
    <row r="1" s="6" customFormat="1" spans="1:14">
      <c r="A1" s="8" t="s">
        <v>47</v>
      </c>
      <c r="B1" s="8" t="s">
        <v>48</v>
      </c>
      <c r="C1" s="8" t="s">
        <v>49</v>
      </c>
      <c r="D1" s="8" t="s">
        <v>50</v>
      </c>
      <c r="E1" s="8" t="s">
        <v>51</v>
      </c>
      <c r="F1" s="8" t="s">
        <v>52</v>
      </c>
      <c r="G1" s="8" t="s">
        <v>53</v>
      </c>
      <c r="H1" s="8" t="s">
        <v>54</v>
      </c>
      <c r="I1" s="8" t="s">
        <v>55</v>
      </c>
      <c r="J1" s="9" t="s">
        <v>56</v>
      </c>
      <c r="K1" s="9" t="s">
        <v>0</v>
      </c>
      <c r="L1" s="9" t="s">
        <v>57</v>
      </c>
      <c r="M1" s="9" t="s">
        <v>58</v>
      </c>
    </row>
    <row r="2" spans="1:14">
      <c r="A2" s="10">
        <v>44328</v>
      </c>
      <c r="B2" s="7" t="s">
        <v>13</v>
      </c>
      <c r="C2" s="7" t="s">
        <v>59</v>
      </c>
      <c r="D2" s="7" t="s">
        <v>60</v>
      </c>
      <c r="E2" s="7" t="s">
        <v>61</v>
      </c>
      <c r="F2" s="7" t="s">
        <v>62</v>
      </c>
      <c r="G2" s="11">
        <v>1</v>
      </c>
      <c r="H2" s="11">
        <v>5416000</v>
      </c>
      <c r="I2" s="11" t="str">
        <f>"Tháng"&amp;" "&amp;MONTH(Du_Lieu[[#This Row],[Date]])</f>
        <v>Tháng 5</v>
      </c>
      <c r="J2" s="12">
        <f>H2/$M$2</f>
        <v>231.849315068493</v>
      </c>
      <c r="K2" s="12" t="str">
        <f>IF(J2&gt;50000,"PLATINUM",IF(AND(J2&gt;25000,J2&lt;50000),"GOLD",IF(AND(J2&gt;10000,J2&lt;25000),"SILVER",IF(AND(J2&gt;3000,J2&lt;10000),"CLIENTELING OR CT","OTHER"))))</f>
        <v>OTHER</v>
      </c>
      <c r="L2" s="13">
        <f>1/COUNTIF(E:E,E2)</f>
        <v>1</v>
      </c>
      <c r="M2" s="14">
        <v>23360</v>
      </c>
      <c r="N2" s="7">
        <f>COUNTIF(F:F,Du_Lieu[[#This Row],[Invoice]])</f>
        <v>1</v>
      </c>
    </row>
    <row r="3" spans="1:14">
      <c r="A3" s="10">
        <v>44328</v>
      </c>
      <c r="B3" s="7" t="s">
        <v>13</v>
      </c>
      <c r="C3" s="7" t="s">
        <v>59</v>
      </c>
      <c r="D3" s="7" t="s">
        <v>63</v>
      </c>
      <c r="E3" s="7" t="s">
        <v>64</v>
      </c>
      <c r="F3" s="7" t="s">
        <v>65</v>
      </c>
      <c r="G3" s="11">
        <v>1</v>
      </c>
      <c r="H3" s="11">
        <v>38813000</v>
      </c>
      <c r="I3" s="11" t="str">
        <f>"Tháng"&amp;" "&amp;MONTH(Du_Lieu[[#This Row],[Date]])</f>
        <v>Tháng 5</v>
      </c>
      <c r="J3" s="12">
        <f t="shared" ref="J3:J66" si="0">H3/$M$2</f>
        <v>1661.5154109589</v>
      </c>
      <c r="K3" s="12" t="str">
        <f t="shared" ref="K3:K66" si="1">IF(J3&gt;50000,"PLATINUM",IF(AND(J3&gt;25000,J3&lt;50000),"GOLD",IF(AND(J3&gt;10000,J3&lt;25000),"SILVER",IF(AND(J3&gt;3000,J3&lt;10000),"CLIENTELING OR CT","OTHER"))))</f>
        <v>OTHER</v>
      </c>
      <c r="L3" s="13">
        <f t="shared" ref="L3:L66" si="2">1/COUNTIF(E:E,E3)</f>
        <v>0.5</v>
      </c>
      <c r="M3" s="15"/>
      <c r="N3" s="7">
        <f>COUNTIF(F:F,Du_Lieu[[#This Row],[Invoice]])</f>
        <v>2</v>
      </c>
    </row>
    <row r="4" spans="1:14">
      <c r="A4" s="10">
        <v>44328</v>
      </c>
      <c r="B4" s="7" t="s">
        <v>13</v>
      </c>
      <c r="C4" s="7" t="s">
        <v>59</v>
      </c>
      <c r="D4" s="7" t="s">
        <v>66</v>
      </c>
      <c r="E4" s="7" t="s">
        <v>64</v>
      </c>
      <c r="F4" s="7" t="s">
        <v>65</v>
      </c>
      <c r="G4" s="11">
        <v>1</v>
      </c>
      <c r="H4" s="11">
        <v>6229000</v>
      </c>
      <c r="I4" s="11" t="str">
        <f>"Tháng"&amp;" "&amp;MONTH(Du_Lieu[[#This Row],[Date]])</f>
        <v>Tháng 5</v>
      </c>
      <c r="J4" s="12">
        <f t="shared" si="0"/>
        <v>266.652397260274</v>
      </c>
      <c r="K4" s="12" t="str">
        <f t="shared" si="1"/>
        <v>OTHER</v>
      </c>
      <c r="L4" s="13">
        <f t="shared" si="2"/>
        <v>0.5</v>
      </c>
      <c r="M4" s="15"/>
      <c r="N4" s="7">
        <f>COUNTIF(F:F,Du_Lieu[[#This Row],[Invoice]])</f>
        <v>2</v>
      </c>
    </row>
    <row r="5" spans="1:14">
      <c r="A5" s="10">
        <v>44328</v>
      </c>
      <c r="B5" s="7" t="s">
        <v>13</v>
      </c>
      <c r="C5" s="7" t="s">
        <v>59</v>
      </c>
      <c r="D5" s="7" t="s">
        <v>67</v>
      </c>
      <c r="E5" s="7" t="s">
        <v>68</v>
      </c>
      <c r="F5" s="7" t="s">
        <v>69</v>
      </c>
      <c r="G5" s="11">
        <v>1</v>
      </c>
      <c r="H5" s="11">
        <v>46937000</v>
      </c>
      <c r="I5" s="11" t="str">
        <f>"Tháng"&amp;" "&amp;MONTH(Du_Lieu[[#This Row],[Date]])</f>
        <v>Tháng 5</v>
      </c>
      <c r="J5" s="12">
        <f t="shared" si="0"/>
        <v>2009.28938356164</v>
      </c>
      <c r="K5" s="12" t="str">
        <f t="shared" si="1"/>
        <v>OTHER</v>
      </c>
      <c r="L5" s="13">
        <f t="shared" si="2"/>
        <v>1</v>
      </c>
      <c r="M5" s="15"/>
      <c r="N5" s="7">
        <f>COUNTIF(F:F,Du_Lieu[[#This Row],[Invoice]])</f>
        <v>1</v>
      </c>
    </row>
    <row r="6" spans="1:14">
      <c r="A6" s="10">
        <v>44328</v>
      </c>
      <c r="B6" s="7" t="s">
        <v>44</v>
      </c>
      <c r="C6" s="7" t="s">
        <v>59</v>
      </c>
      <c r="D6" s="7" t="s">
        <v>70</v>
      </c>
      <c r="E6" s="7" t="s">
        <v>71</v>
      </c>
      <c r="F6" s="7" t="s">
        <v>72</v>
      </c>
      <c r="G6" s="11">
        <v>1</v>
      </c>
      <c r="H6" s="11">
        <v>28884000</v>
      </c>
      <c r="I6" s="11" t="str">
        <f>"Tháng"&amp;" "&amp;MONTH(Du_Lieu[[#This Row],[Date]])</f>
        <v>Tháng 5</v>
      </c>
      <c r="J6" s="12">
        <f t="shared" si="0"/>
        <v>1236.47260273973</v>
      </c>
      <c r="K6" s="12" t="str">
        <f t="shared" si="1"/>
        <v>OTHER</v>
      </c>
      <c r="L6" s="13">
        <f t="shared" si="2"/>
        <v>0.5</v>
      </c>
      <c r="M6" s="15"/>
      <c r="N6" s="7">
        <f>COUNTIF(F:F,Du_Lieu[[#This Row],[Invoice]])</f>
        <v>2</v>
      </c>
    </row>
    <row r="7" spans="1:14">
      <c r="A7" s="10">
        <v>44328</v>
      </c>
      <c r="B7" s="7" t="s">
        <v>44</v>
      </c>
      <c r="C7" s="7" t="s">
        <v>59</v>
      </c>
      <c r="D7" s="7" t="s">
        <v>73</v>
      </c>
      <c r="E7" s="7" t="s">
        <v>71</v>
      </c>
      <c r="F7" s="7" t="s">
        <v>72</v>
      </c>
      <c r="G7" s="11">
        <v>1</v>
      </c>
      <c r="H7" s="11">
        <v>28884000</v>
      </c>
      <c r="I7" s="11" t="str">
        <f>"Tháng"&amp;" "&amp;MONTH(Du_Lieu[[#This Row],[Date]])</f>
        <v>Tháng 5</v>
      </c>
      <c r="J7" s="12">
        <f t="shared" si="0"/>
        <v>1236.47260273973</v>
      </c>
      <c r="K7" s="12" t="str">
        <f t="shared" si="1"/>
        <v>OTHER</v>
      </c>
      <c r="L7" s="13">
        <f t="shared" si="2"/>
        <v>0.5</v>
      </c>
      <c r="M7" s="15"/>
      <c r="N7" s="7">
        <f>COUNTIF(F:F,Du_Lieu[[#This Row],[Invoice]])</f>
        <v>2</v>
      </c>
    </row>
    <row r="8" spans="1:14">
      <c r="A8" s="10">
        <v>44328</v>
      </c>
      <c r="B8" s="7" t="s">
        <v>13</v>
      </c>
      <c r="C8" s="7" t="s">
        <v>59</v>
      </c>
      <c r="D8" s="7" t="s">
        <v>74</v>
      </c>
      <c r="E8" s="7" t="s">
        <v>75</v>
      </c>
      <c r="F8" s="7" t="s">
        <v>76</v>
      </c>
      <c r="G8" s="11">
        <v>1</v>
      </c>
      <c r="H8" s="11">
        <v>114633000</v>
      </c>
      <c r="I8" s="11" t="str">
        <f>"Tháng"&amp;" "&amp;MONTH(Du_Lieu[[#This Row],[Date]])</f>
        <v>Tháng 5</v>
      </c>
      <c r="J8" s="12">
        <f t="shared" si="0"/>
        <v>4907.2345890411</v>
      </c>
      <c r="K8" s="12" t="str">
        <f t="shared" si="1"/>
        <v>CLIENTELING OR CT</v>
      </c>
      <c r="L8" s="13">
        <f t="shared" si="2"/>
        <v>1</v>
      </c>
      <c r="M8" s="15"/>
      <c r="N8" s="7">
        <f>COUNTIF(F:F,Du_Lieu[[#This Row],[Invoice]])</f>
        <v>1</v>
      </c>
    </row>
    <row r="9" spans="1:14">
      <c r="A9" s="10">
        <v>44329</v>
      </c>
      <c r="B9" s="7" t="s">
        <v>44</v>
      </c>
      <c r="C9" s="7" t="s">
        <v>59</v>
      </c>
      <c r="D9" s="7" t="s">
        <v>77</v>
      </c>
      <c r="E9" s="7" t="s">
        <v>78</v>
      </c>
      <c r="F9" s="7" t="s">
        <v>79</v>
      </c>
      <c r="G9" s="11">
        <v>1</v>
      </c>
      <c r="H9" s="11">
        <v>6229000</v>
      </c>
      <c r="I9" s="11" t="str">
        <f>"Tháng"&amp;" "&amp;MONTH(Du_Lieu[[#This Row],[Date]])</f>
        <v>Tháng 5</v>
      </c>
      <c r="J9" s="12">
        <f t="shared" si="0"/>
        <v>266.652397260274</v>
      </c>
      <c r="K9" s="12" t="str">
        <f t="shared" si="1"/>
        <v>OTHER</v>
      </c>
      <c r="L9" s="13">
        <f t="shared" si="2"/>
        <v>0.5</v>
      </c>
      <c r="M9" s="15"/>
      <c r="N9" s="7">
        <f>COUNTIF(F:F,Du_Lieu[[#This Row],[Invoice]])</f>
        <v>2</v>
      </c>
    </row>
    <row r="10" spans="1:14">
      <c r="A10" s="10">
        <v>44329</v>
      </c>
      <c r="B10" s="7" t="s">
        <v>44</v>
      </c>
      <c r="C10" s="7" t="s">
        <v>59</v>
      </c>
      <c r="D10" s="7" t="s">
        <v>80</v>
      </c>
      <c r="E10" s="7" t="s">
        <v>78</v>
      </c>
      <c r="F10" s="7" t="s">
        <v>79</v>
      </c>
      <c r="G10" s="11">
        <v>1</v>
      </c>
      <c r="H10" s="11">
        <v>6229000</v>
      </c>
      <c r="I10" s="11" t="str">
        <f>"Tháng"&amp;" "&amp;MONTH(Du_Lieu[[#This Row],[Date]])</f>
        <v>Tháng 5</v>
      </c>
      <c r="J10" s="12">
        <f t="shared" si="0"/>
        <v>266.652397260274</v>
      </c>
      <c r="K10" s="12" t="str">
        <f t="shared" si="1"/>
        <v>OTHER</v>
      </c>
      <c r="L10" s="13">
        <f t="shared" si="2"/>
        <v>0.5</v>
      </c>
      <c r="M10" s="15"/>
      <c r="N10" s="7">
        <f>COUNTIF(F:F,Du_Lieu[[#This Row],[Invoice]])</f>
        <v>2</v>
      </c>
    </row>
    <row r="11" spans="1:14">
      <c r="A11" s="10">
        <v>44332</v>
      </c>
      <c r="B11" s="7" t="s">
        <v>15</v>
      </c>
      <c r="C11" s="7" t="s">
        <v>59</v>
      </c>
      <c r="D11" s="7" t="s">
        <v>81</v>
      </c>
      <c r="E11" s="7" t="s">
        <v>82</v>
      </c>
      <c r="F11" s="7" t="s">
        <v>83</v>
      </c>
      <c r="G11" s="11">
        <v>1</v>
      </c>
      <c r="H11" s="11">
        <v>6229000</v>
      </c>
      <c r="I11" s="11" t="str">
        <f>"Tháng"&amp;" "&amp;MONTH(Du_Lieu[[#This Row],[Date]])</f>
        <v>Tháng 5</v>
      </c>
      <c r="J11" s="12">
        <f t="shared" si="0"/>
        <v>266.652397260274</v>
      </c>
      <c r="K11" s="12" t="str">
        <f t="shared" si="1"/>
        <v>OTHER</v>
      </c>
      <c r="L11" s="13">
        <f t="shared" si="2"/>
        <v>0.333333333333333</v>
      </c>
      <c r="M11" s="15"/>
      <c r="N11" s="7">
        <f>COUNTIF(F:F,Du_Lieu[[#This Row],[Invoice]])</f>
        <v>1</v>
      </c>
    </row>
    <row r="12" spans="1:14">
      <c r="A12" s="10">
        <v>44332</v>
      </c>
      <c r="B12" s="7" t="s">
        <v>44</v>
      </c>
      <c r="C12" s="7" t="s">
        <v>59</v>
      </c>
      <c r="D12" s="7" t="s">
        <v>84</v>
      </c>
      <c r="E12" s="7" t="s">
        <v>85</v>
      </c>
      <c r="F12" s="7" t="s">
        <v>86</v>
      </c>
      <c r="G12" s="11">
        <v>1</v>
      </c>
      <c r="H12" s="11">
        <v>6229000</v>
      </c>
      <c r="I12" s="11" t="str">
        <f>"Tháng"&amp;" "&amp;MONTH(Du_Lieu[[#This Row],[Date]])</f>
        <v>Tháng 5</v>
      </c>
      <c r="J12" s="12">
        <f t="shared" si="0"/>
        <v>266.652397260274</v>
      </c>
      <c r="K12" s="12" t="str">
        <f t="shared" si="1"/>
        <v>OTHER</v>
      </c>
      <c r="L12" s="13">
        <f t="shared" si="2"/>
        <v>0.25</v>
      </c>
      <c r="M12" s="15"/>
      <c r="N12" s="7">
        <f>COUNTIF(F:F,Du_Lieu[[#This Row],[Invoice]])</f>
        <v>1</v>
      </c>
    </row>
    <row r="13" spans="1:14">
      <c r="A13" s="10">
        <v>44332</v>
      </c>
      <c r="B13" s="7" t="s">
        <v>15</v>
      </c>
      <c r="C13" s="7" t="s">
        <v>59</v>
      </c>
      <c r="D13" s="7" t="s">
        <v>81</v>
      </c>
      <c r="E13" s="7" t="s">
        <v>82</v>
      </c>
      <c r="F13" s="7" t="s">
        <v>87</v>
      </c>
      <c r="G13" s="11">
        <v>-1</v>
      </c>
      <c r="H13" s="11">
        <v>-6229000</v>
      </c>
      <c r="I13" s="11" t="str">
        <f>"Tháng"&amp;" "&amp;MONTH(Du_Lieu[[#This Row],[Date]])</f>
        <v>Tháng 5</v>
      </c>
      <c r="J13" s="12">
        <f t="shared" si="0"/>
        <v>-266.652397260274</v>
      </c>
      <c r="K13" s="12" t="str">
        <f t="shared" si="1"/>
        <v>OTHER</v>
      </c>
      <c r="L13" s="13">
        <f t="shared" si="2"/>
        <v>0.333333333333333</v>
      </c>
      <c r="M13" s="15"/>
      <c r="N13" s="7">
        <f>COUNTIF(F:F,Du_Lieu[[#This Row],[Invoice]])</f>
        <v>1</v>
      </c>
    </row>
    <row r="14" spans="1:14">
      <c r="A14" s="10">
        <v>44332</v>
      </c>
      <c r="B14" s="7" t="s">
        <v>44</v>
      </c>
      <c r="C14" s="7" t="s">
        <v>59</v>
      </c>
      <c r="D14" s="7" t="s">
        <v>84</v>
      </c>
      <c r="E14" s="7" t="s">
        <v>85</v>
      </c>
      <c r="F14" s="7" t="s">
        <v>88</v>
      </c>
      <c r="G14" s="11">
        <v>-1</v>
      </c>
      <c r="H14" s="11">
        <v>-6229000</v>
      </c>
      <c r="I14" s="11" t="str">
        <f>"Tháng"&amp;" "&amp;MONTH(Du_Lieu[[#This Row],[Date]])</f>
        <v>Tháng 5</v>
      </c>
      <c r="J14" s="12">
        <f t="shared" si="0"/>
        <v>-266.652397260274</v>
      </c>
      <c r="K14" s="12" t="str">
        <f t="shared" si="1"/>
        <v>OTHER</v>
      </c>
      <c r="L14" s="13">
        <f t="shared" si="2"/>
        <v>0.25</v>
      </c>
      <c r="M14" s="15"/>
      <c r="N14" s="7">
        <f>COUNTIF(F:F,Du_Lieu[[#This Row],[Invoice]])</f>
        <v>1</v>
      </c>
    </row>
    <row r="15" spans="1:14">
      <c r="A15" s="10">
        <v>44330</v>
      </c>
      <c r="B15" s="7" t="s">
        <v>44</v>
      </c>
      <c r="C15" s="7" t="s">
        <v>59</v>
      </c>
      <c r="D15" s="7" t="s">
        <v>77</v>
      </c>
      <c r="E15" s="7" t="s">
        <v>89</v>
      </c>
      <c r="F15" s="7" t="s">
        <v>90</v>
      </c>
      <c r="G15" s="11">
        <v>1</v>
      </c>
      <c r="H15" s="11">
        <v>6229000</v>
      </c>
      <c r="I15" s="11" t="str">
        <f>"Tháng"&amp;" "&amp;MONTH(Du_Lieu[[#This Row],[Date]])</f>
        <v>Tháng 5</v>
      </c>
      <c r="J15" s="12">
        <f t="shared" si="0"/>
        <v>266.652397260274</v>
      </c>
      <c r="K15" s="12" t="str">
        <f t="shared" si="1"/>
        <v>OTHER</v>
      </c>
      <c r="L15" s="13">
        <f t="shared" si="2"/>
        <v>1</v>
      </c>
      <c r="M15" s="15"/>
      <c r="N15" s="7">
        <f>COUNTIF(F:F,Du_Lieu[[#This Row],[Invoice]])</f>
        <v>1</v>
      </c>
    </row>
    <row r="16" spans="1:14">
      <c r="A16" s="10">
        <v>44330</v>
      </c>
      <c r="B16" s="7" t="s">
        <v>13</v>
      </c>
      <c r="C16" s="7" t="s">
        <v>59</v>
      </c>
      <c r="D16" s="7" t="s">
        <v>91</v>
      </c>
      <c r="E16" s="7" t="s">
        <v>92</v>
      </c>
      <c r="F16" s="7" t="s">
        <v>93</v>
      </c>
      <c r="G16" s="11">
        <v>1</v>
      </c>
      <c r="H16" s="11">
        <v>56865000</v>
      </c>
      <c r="I16" s="11" t="str">
        <f>"Tháng"&amp;" "&amp;MONTH(Du_Lieu[[#This Row],[Date]])</f>
        <v>Tháng 5</v>
      </c>
      <c r="J16" s="12">
        <f t="shared" si="0"/>
        <v>2434.28938356164</v>
      </c>
      <c r="K16" s="12" t="str">
        <f t="shared" si="1"/>
        <v>OTHER</v>
      </c>
      <c r="L16" s="13">
        <f t="shared" si="2"/>
        <v>0.5</v>
      </c>
      <c r="M16" s="15"/>
      <c r="N16" s="7">
        <f>COUNTIF(F:F,Du_Lieu[[#This Row],[Invoice]])</f>
        <v>2</v>
      </c>
    </row>
    <row r="17" spans="1:14">
      <c r="A17" s="10">
        <v>44330</v>
      </c>
      <c r="B17" s="7" t="s">
        <v>13</v>
      </c>
      <c r="C17" s="7" t="s">
        <v>59</v>
      </c>
      <c r="D17" s="7" t="s">
        <v>94</v>
      </c>
      <c r="E17" s="7" t="s">
        <v>92</v>
      </c>
      <c r="F17" s="7" t="s">
        <v>93</v>
      </c>
      <c r="G17" s="11">
        <v>1</v>
      </c>
      <c r="H17" s="11">
        <v>27982000</v>
      </c>
      <c r="I17" s="11" t="str">
        <f>"Tháng"&amp;" "&amp;MONTH(Du_Lieu[[#This Row],[Date]])</f>
        <v>Tháng 5</v>
      </c>
      <c r="J17" s="12">
        <f t="shared" si="0"/>
        <v>1197.8595890411</v>
      </c>
      <c r="K17" s="12" t="str">
        <f t="shared" si="1"/>
        <v>OTHER</v>
      </c>
      <c r="L17" s="13">
        <f t="shared" si="2"/>
        <v>0.5</v>
      </c>
      <c r="M17" s="15"/>
      <c r="N17" s="7">
        <f>COUNTIF(F:F,Du_Lieu[[#This Row],[Invoice]])</f>
        <v>2</v>
      </c>
    </row>
    <row r="18" spans="1:14">
      <c r="A18" s="10">
        <v>44330</v>
      </c>
      <c r="B18" s="7" t="s">
        <v>44</v>
      </c>
      <c r="C18" s="7" t="s">
        <v>59</v>
      </c>
      <c r="D18" s="7" t="s">
        <v>95</v>
      </c>
      <c r="E18" s="7" t="s">
        <v>85</v>
      </c>
      <c r="F18" s="7" t="s">
        <v>96</v>
      </c>
      <c r="G18" s="11">
        <v>1</v>
      </c>
      <c r="H18" s="11">
        <v>63184000</v>
      </c>
      <c r="I18" s="11" t="str">
        <f>"Tháng"&amp;" "&amp;MONTH(Du_Lieu[[#This Row],[Date]])</f>
        <v>Tháng 5</v>
      </c>
      <c r="J18" s="12">
        <f t="shared" si="0"/>
        <v>2704.79452054795</v>
      </c>
      <c r="K18" s="12" t="str">
        <f t="shared" si="1"/>
        <v>OTHER</v>
      </c>
      <c r="L18" s="13">
        <f t="shared" si="2"/>
        <v>0.25</v>
      </c>
      <c r="M18" s="15"/>
      <c r="N18" s="7">
        <f>COUNTIF(F:F,Du_Lieu[[#This Row],[Invoice]])</f>
        <v>1</v>
      </c>
    </row>
    <row r="19" spans="1:14">
      <c r="A19" s="10">
        <v>44331</v>
      </c>
      <c r="B19" s="7" t="s">
        <v>15</v>
      </c>
      <c r="C19" s="7" t="s">
        <v>59</v>
      </c>
      <c r="D19" s="7" t="s">
        <v>81</v>
      </c>
      <c r="E19" s="7" t="s">
        <v>82</v>
      </c>
      <c r="F19" s="7" t="s">
        <v>97</v>
      </c>
      <c r="G19" s="11">
        <v>1</v>
      </c>
      <c r="H19" s="11">
        <v>6229000</v>
      </c>
      <c r="I19" s="11" t="str">
        <f>"Tháng"&amp;" "&amp;MONTH(Du_Lieu[[#This Row],[Date]])</f>
        <v>Tháng 5</v>
      </c>
      <c r="J19" s="12">
        <f t="shared" si="0"/>
        <v>266.652397260274</v>
      </c>
      <c r="K19" s="12" t="str">
        <f t="shared" si="1"/>
        <v>OTHER</v>
      </c>
      <c r="L19" s="13">
        <f t="shared" si="2"/>
        <v>0.333333333333333</v>
      </c>
      <c r="M19" s="15"/>
      <c r="N19" s="7">
        <f>COUNTIF(F:F,Du_Lieu[[#This Row],[Invoice]])</f>
        <v>1</v>
      </c>
    </row>
    <row r="20" spans="1:14">
      <c r="A20" s="10">
        <v>44331</v>
      </c>
      <c r="B20" s="7" t="s">
        <v>44</v>
      </c>
      <c r="C20" s="7" t="s">
        <v>59</v>
      </c>
      <c r="D20" s="7" t="s">
        <v>84</v>
      </c>
      <c r="E20" s="7" t="s">
        <v>85</v>
      </c>
      <c r="F20" s="7" t="s">
        <v>98</v>
      </c>
      <c r="G20" s="11">
        <v>1</v>
      </c>
      <c r="H20" s="11">
        <v>6229000</v>
      </c>
      <c r="I20" s="11" t="str">
        <f>"Tháng"&amp;" "&amp;MONTH(Du_Lieu[[#This Row],[Date]])</f>
        <v>Tháng 5</v>
      </c>
      <c r="J20" s="12">
        <f t="shared" si="0"/>
        <v>266.652397260274</v>
      </c>
      <c r="K20" s="12" t="str">
        <f t="shared" si="1"/>
        <v>OTHER</v>
      </c>
      <c r="L20" s="13">
        <f t="shared" si="2"/>
        <v>0.25</v>
      </c>
      <c r="M20" s="15"/>
      <c r="N20" s="7">
        <f>COUNTIF(F:F,Du_Lieu[[#This Row],[Invoice]])</f>
        <v>1</v>
      </c>
    </row>
    <row r="21" spans="1:14">
      <c r="A21" s="10">
        <v>44332</v>
      </c>
      <c r="B21" s="7" t="s">
        <v>13</v>
      </c>
      <c r="C21" s="7" t="s">
        <v>59</v>
      </c>
      <c r="D21" s="7" t="s">
        <v>99</v>
      </c>
      <c r="E21" s="7" t="s">
        <v>100</v>
      </c>
      <c r="F21" s="7" t="s">
        <v>101</v>
      </c>
      <c r="G21" s="11">
        <v>1</v>
      </c>
      <c r="H21" s="11">
        <v>26176000</v>
      </c>
      <c r="I21" s="11" t="str">
        <f>"Tháng"&amp;" "&amp;MONTH(Du_Lieu[[#This Row],[Date]])</f>
        <v>Tháng 5</v>
      </c>
      <c r="J21" s="12">
        <f t="shared" si="0"/>
        <v>1120.54794520548</v>
      </c>
      <c r="K21" s="12" t="str">
        <f t="shared" si="1"/>
        <v>OTHER</v>
      </c>
      <c r="L21" s="13">
        <f t="shared" si="2"/>
        <v>1</v>
      </c>
      <c r="M21" s="15"/>
      <c r="N21" s="7">
        <f>COUNTIF(F:F,Du_Lieu[[#This Row],[Invoice]])</f>
        <v>1</v>
      </c>
    </row>
    <row r="22" spans="1:14">
      <c r="A22" s="10">
        <v>44332</v>
      </c>
      <c r="B22" s="7" t="s">
        <v>13</v>
      </c>
      <c r="C22" s="7" t="s">
        <v>59</v>
      </c>
      <c r="D22" s="7" t="s">
        <v>102</v>
      </c>
      <c r="E22" s="7" t="s">
        <v>103</v>
      </c>
      <c r="F22" s="7" t="s">
        <v>104</v>
      </c>
      <c r="G22" s="11">
        <v>1</v>
      </c>
      <c r="H22" s="11">
        <v>86652000</v>
      </c>
      <c r="I22" s="11" t="str">
        <f>"Tháng"&amp;" "&amp;MONTH(Du_Lieu[[#This Row],[Date]])</f>
        <v>Tháng 5</v>
      </c>
      <c r="J22" s="12">
        <f t="shared" si="0"/>
        <v>3709.41780821918</v>
      </c>
      <c r="K22" s="12" t="str">
        <f t="shared" si="1"/>
        <v>CLIENTELING OR CT</v>
      </c>
      <c r="L22" s="13">
        <f t="shared" si="2"/>
        <v>0.333333333333333</v>
      </c>
      <c r="M22" s="15"/>
      <c r="N22" s="7">
        <f>COUNTIF(F:F,Du_Lieu[[#This Row],[Invoice]])</f>
        <v>3</v>
      </c>
    </row>
    <row r="23" spans="1:14">
      <c r="A23" s="10">
        <v>44332</v>
      </c>
      <c r="B23" s="7" t="s">
        <v>13</v>
      </c>
      <c r="C23" s="7" t="s">
        <v>59</v>
      </c>
      <c r="D23" s="7" t="s">
        <v>105</v>
      </c>
      <c r="E23" s="7" t="s">
        <v>103</v>
      </c>
      <c r="F23" s="7" t="s">
        <v>104</v>
      </c>
      <c r="G23" s="11">
        <v>1</v>
      </c>
      <c r="H23" s="11">
        <v>8666000</v>
      </c>
      <c r="I23" s="11" t="str">
        <f>"Tháng"&amp;" "&amp;MONTH(Du_Lieu[[#This Row],[Date]])</f>
        <v>Tháng 5</v>
      </c>
      <c r="J23" s="12">
        <f t="shared" si="0"/>
        <v>370.97602739726</v>
      </c>
      <c r="K23" s="12" t="str">
        <f t="shared" si="1"/>
        <v>OTHER</v>
      </c>
      <c r="L23" s="13">
        <f t="shared" si="2"/>
        <v>0.333333333333333</v>
      </c>
      <c r="M23" s="15"/>
      <c r="N23" s="7">
        <f>COUNTIF(F:F,Du_Lieu[[#This Row],[Invoice]])</f>
        <v>3</v>
      </c>
    </row>
    <row r="24" spans="1:14">
      <c r="A24" s="10">
        <v>44332</v>
      </c>
      <c r="B24" s="7" t="s">
        <v>13</v>
      </c>
      <c r="C24" s="7" t="s">
        <v>59</v>
      </c>
      <c r="D24" s="7" t="s">
        <v>106</v>
      </c>
      <c r="E24" s="7" t="s">
        <v>103</v>
      </c>
      <c r="F24" s="7" t="s">
        <v>104</v>
      </c>
      <c r="G24" s="11">
        <v>1</v>
      </c>
      <c r="H24" s="11">
        <v>5958000</v>
      </c>
      <c r="I24" s="11" t="str">
        <f>"Tháng"&amp;" "&amp;MONTH(Du_Lieu[[#This Row],[Date]])</f>
        <v>Tháng 5</v>
      </c>
      <c r="J24" s="12">
        <f t="shared" si="0"/>
        <v>255.051369863014</v>
      </c>
      <c r="K24" s="12" t="str">
        <f t="shared" si="1"/>
        <v>OTHER</v>
      </c>
      <c r="L24" s="13">
        <f t="shared" si="2"/>
        <v>0.333333333333333</v>
      </c>
      <c r="M24" s="15"/>
      <c r="N24" s="7">
        <f>COUNTIF(F:F,Du_Lieu[[#This Row],[Invoice]])</f>
        <v>3</v>
      </c>
    </row>
    <row r="25" spans="1:14">
      <c r="A25" s="10">
        <v>44332</v>
      </c>
      <c r="B25" s="7" t="s">
        <v>44</v>
      </c>
      <c r="C25" s="7" t="s">
        <v>59</v>
      </c>
      <c r="D25" s="7" t="s">
        <v>66</v>
      </c>
      <c r="E25" s="7" t="s">
        <v>107</v>
      </c>
      <c r="F25" s="7" t="s">
        <v>108</v>
      </c>
      <c r="G25" s="11">
        <v>1</v>
      </c>
      <c r="H25" s="11">
        <v>6229000</v>
      </c>
      <c r="I25" s="11" t="str">
        <f>"Tháng"&amp;" "&amp;MONTH(Du_Lieu[[#This Row],[Date]])</f>
        <v>Tháng 5</v>
      </c>
      <c r="J25" s="12">
        <f t="shared" si="0"/>
        <v>266.652397260274</v>
      </c>
      <c r="K25" s="12" t="str">
        <f t="shared" si="1"/>
        <v>OTHER</v>
      </c>
      <c r="L25" s="13">
        <f t="shared" si="2"/>
        <v>1</v>
      </c>
      <c r="M25" s="15"/>
      <c r="N25" s="7">
        <f>COUNTIF(F:F,Du_Lieu[[#This Row],[Invoice]])</f>
        <v>1</v>
      </c>
    </row>
    <row r="26" spans="1:14">
      <c r="A26" s="10">
        <v>44332</v>
      </c>
      <c r="B26" s="7" t="s">
        <v>44</v>
      </c>
      <c r="C26" s="7" t="s">
        <v>59</v>
      </c>
      <c r="D26" s="7" t="s">
        <v>109</v>
      </c>
      <c r="E26" s="7" t="s">
        <v>110</v>
      </c>
      <c r="F26" s="7" t="s">
        <v>111</v>
      </c>
      <c r="G26" s="11">
        <v>1</v>
      </c>
      <c r="H26" s="11">
        <v>2618000</v>
      </c>
      <c r="I26" s="11" t="str">
        <f>"Tháng"&amp;" "&amp;MONTH(Du_Lieu[[#This Row],[Date]])</f>
        <v>Tháng 5</v>
      </c>
      <c r="J26" s="12">
        <f t="shared" si="0"/>
        <v>112.071917808219</v>
      </c>
      <c r="K26" s="12" t="str">
        <f t="shared" si="1"/>
        <v>OTHER</v>
      </c>
      <c r="L26" s="13">
        <f t="shared" si="2"/>
        <v>1</v>
      </c>
      <c r="M26" s="15"/>
      <c r="N26" s="7">
        <f>COUNTIF(F:F,Du_Lieu[[#This Row],[Invoice]])</f>
        <v>1</v>
      </c>
    </row>
    <row r="27" spans="1:14">
      <c r="A27" s="10">
        <v>44333</v>
      </c>
      <c r="B27" s="7" t="s">
        <v>13</v>
      </c>
      <c r="C27" s="7" t="s">
        <v>59</v>
      </c>
      <c r="D27" s="7" t="s">
        <v>112</v>
      </c>
      <c r="E27" s="7" t="s">
        <v>113</v>
      </c>
      <c r="F27" s="7" t="s">
        <v>114</v>
      </c>
      <c r="G27" s="11">
        <v>1</v>
      </c>
      <c r="H27" s="11">
        <v>40618000</v>
      </c>
      <c r="I27" s="11" t="str">
        <f>"Tháng"&amp;" "&amp;MONTH(Du_Lieu[[#This Row],[Date]])</f>
        <v>Tháng 5</v>
      </c>
      <c r="J27" s="12">
        <f t="shared" si="0"/>
        <v>1738.78424657534</v>
      </c>
      <c r="K27" s="12" t="str">
        <f t="shared" si="1"/>
        <v>OTHER</v>
      </c>
      <c r="L27" s="13">
        <f t="shared" si="2"/>
        <v>1</v>
      </c>
      <c r="M27" s="15"/>
      <c r="N27" s="7">
        <f>COUNTIF(F:F,Du_Lieu[[#This Row],[Invoice]])</f>
        <v>1</v>
      </c>
    </row>
    <row r="28" spans="1:14">
      <c r="A28" s="10">
        <v>44333</v>
      </c>
      <c r="B28" s="7" t="s">
        <v>13</v>
      </c>
      <c r="C28" s="7" t="s">
        <v>59</v>
      </c>
      <c r="D28" s="7" t="s">
        <v>115</v>
      </c>
      <c r="E28" s="7" t="s">
        <v>116</v>
      </c>
      <c r="F28" s="7" t="s">
        <v>117</v>
      </c>
      <c r="G28" s="11">
        <v>1</v>
      </c>
      <c r="H28" s="11">
        <v>48742000</v>
      </c>
      <c r="I28" s="11" t="str">
        <f>"Tháng"&amp;" "&amp;MONTH(Du_Lieu[[#This Row],[Date]])</f>
        <v>Tháng 5</v>
      </c>
      <c r="J28" s="12">
        <f t="shared" si="0"/>
        <v>2086.55821917808</v>
      </c>
      <c r="K28" s="12" t="str">
        <f t="shared" si="1"/>
        <v>OTHER</v>
      </c>
      <c r="L28" s="13">
        <f t="shared" si="2"/>
        <v>1</v>
      </c>
      <c r="M28" s="15"/>
      <c r="N28" s="7">
        <f>COUNTIF(F:F,Du_Lieu[[#This Row],[Invoice]])</f>
        <v>1</v>
      </c>
    </row>
    <row r="29" spans="1:14">
      <c r="A29" s="10">
        <v>44333</v>
      </c>
      <c r="B29" s="7" t="s">
        <v>44</v>
      </c>
      <c r="C29" s="7" t="s">
        <v>59</v>
      </c>
      <c r="D29" s="7" t="s">
        <v>118</v>
      </c>
      <c r="E29" s="7" t="s">
        <v>119</v>
      </c>
      <c r="F29" s="7" t="s">
        <v>120</v>
      </c>
      <c r="G29" s="11">
        <v>1</v>
      </c>
      <c r="H29" s="11">
        <v>35203000</v>
      </c>
      <c r="I29" s="11" t="str">
        <f>"Tháng"&amp;" "&amp;MONTH(Du_Lieu[[#This Row],[Date]])</f>
        <v>Tháng 5</v>
      </c>
      <c r="J29" s="12">
        <f t="shared" si="0"/>
        <v>1506.97773972603</v>
      </c>
      <c r="K29" s="12" t="str">
        <f t="shared" si="1"/>
        <v>OTHER</v>
      </c>
      <c r="L29" s="13">
        <f t="shared" si="2"/>
        <v>0.5</v>
      </c>
      <c r="M29" s="15"/>
      <c r="N29" s="7">
        <f>COUNTIF(F:F,Du_Lieu[[#This Row],[Invoice]])</f>
        <v>2</v>
      </c>
    </row>
    <row r="30" spans="1:14">
      <c r="A30" s="10">
        <v>44333</v>
      </c>
      <c r="B30" s="7" t="s">
        <v>44</v>
      </c>
      <c r="C30" s="7" t="s">
        <v>59</v>
      </c>
      <c r="D30" s="7" t="s">
        <v>121</v>
      </c>
      <c r="E30" s="7" t="s">
        <v>119</v>
      </c>
      <c r="F30" s="7" t="s">
        <v>120</v>
      </c>
      <c r="G30" s="11">
        <v>1</v>
      </c>
      <c r="H30" s="11">
        <v>27982000</v>
      </c>
      <c r="I30" s="11" t="str">
        <f>"Tháng"&amp;" "&amp;MONTH(Du_Lieu[[#This Row],[Date]])</f>
        <v>Tháng 5</v>
      </c>
      <c r="J30" s="12">
        <f t="shared" si="0"/>
        <v>1197.8595890411</v>
      </c>
      <c r="K30" s="12" t="str">
        <f t="shared" si="1"/>
        <v>OTHER</v>
      </c>
      <c r="L30" s="13">
        <f t="shared" si="2"/>
        <v>0.5</v>
      </c>
      <c r="M30" s="15"/>
      <c r="N30" s="7">
        <f>COUNTIF(F:F,Du_Lieu[[#This Row],[Invoice]])</f>
        <v>2</v>
      </c>
    </row>
    <row r="31" spans="1:14">
      <c r="A31" s="10">
        <v>44334</v>
      </c>
      <c r="B31" s="7" t="s">
        <v>44</v>
      </c>
      <c r="C31" s="7" t="s">
        <v>59</v>
      </c>
      <c r="D31" s="7" t="s">
        <v>122</v>
      </c>
      <c r="E31" s="7" t="s">
        <v>123</v>
      </c>
      <c r="F31" s="7" t="s">
        <v>124</v>
      </c>
      <c r="G31" s="11">
        <v>1</v>
      </c>
      <c r="H31" s="11">
        <v>5416000</v>
      </c>
      <c r="I31" s="11" t="str">
        <f>"Tháng"&amp;" "&amp;MONTH(Du_Lieu[[#This Row],[Date]])</f>
        <v>Tháng 5</v>
      </c>
      <c r="J31" s="12">
        <f t="shared" si="0"/>
        <v>231.849315068493</v>
      </c>
      <c r="K31" s="12" t="str">
        <f t="shared" si="1"/>
        <v>OTHER</v>
      </c>
      <c r="L31" s="13">
        <f t="shared" si="2"/>
        <v>1</v>
      </c>
      <c r="M31" s="15"/>
      <c r="N31" s="7">
        <f>COUNTIF(F:F,Du_Lieu[[#This Row],[Invoice]])</f>
        <v>1</v>
      </c>
    </row>
    <row r="32" spans="1:14">
      <c r="A32" s="10">
        <v>44334</v>
      </c>
      <c r="B32" s="7" t="s">
        <v>13</v>
      </c>
      <c r="C32" s="7" t="s">
        <v>59</v>
      </c>
      <c r="D32" s="7" t="s">
        <v>125</v>
      </c>
      <c r="E32" s="7" t="s">
        <v>126</v>
      </c>
      <c r="F32" s="7" t="s">
        <v>127</v>
      </c>
      <c r="G32" s="11">
        <v>1</v>
      </c>
      <c r="H32" s="11">
        <v>76723000</v>
      </c>
      <c r="I32" s="11" t="str">
        <f>"Tháng"&amp;" "&amp;MONTH(Du_Lieu[[#This Row],[Date]])</f>
        <v>Tháng 5</v>
      </c>
      <c r="J32" s="12">
        <f t="shared" si="0"/>
        <v>3284.375</v>
      </c>
      <c r="K32" s="12" t="str">
        <f t="shared" si="1"/>
        <v>CLIENTELING OR CT</v>
      </c>
      <c r="L32" s="13">
        <f t="shared" si="2"/>
        <v>0.1</v>
      </c>
      <c r="M32" s="15"/>
      <c r="N32" s="7">
        <f>COUNTIF(F:F,Du_Lieu[[#This Row],[Invoice]])</f>
        <v>5</v>
      </c>
    </row>
    <row r="33" spans="1:14">
      <c r="A33" s="10">
        <v>44334</v>
      </c>
      <c r="B33" s="7" t="s">
        <v>13</v>
      </c>
      <c r="C33" s="7" t="s">
        <v>59</v>
      </c>
      <c r="D33" s="7" t="s">
        <v>105</v>
      </c>
      <c r="E33" s="7" t="s">
        <v>126</v>
      </c>
      <c r="F33" s="7" t="s">
        <v>127</v>
      </c>
      <c r="G33" s="11">
        <v>1</v>
      </c>
      <c r="H33" s="11">
        <v>8666000</v>
      </c>
      <c r="I33" s="11" t="str">
        <f>"Tháng"&amp;" "&amp;MONTH(Du_Lieu[[#This Row],[Date]])</f>
        <v>Tháng 5</v>
      </c>
      <c r="J33" s="12">
        <f t="shared" si="0"/>
        <v>370.97602739726</v>
      </c>
      <c r="K33" s="12" t="str">
        <f t="shared" si="1"/>
        <v>OTHER</v>
      </c>
      <c r="L33" s="13">
        <f t="shared" si="2"/>
        <v>0.1</v>
      </c>
      <c r="M33" s="15"/>
      <c r="N33" s="7">
        <f>COUNTIF(F:F,Du_Lieu[[#This Row],[Invoice]])</f>
        <v>5</v>
      </c>
    </row>
    <row r="34" spans="1:14">
      <c r="A34" s="10">
        <v>44334</v>
      </c>
      <c r="B34" s="7" t="s">
        <v>13</v>
      </c>
      <c r="C34" s="7" t="s">
        <v>59</v>
      </c>
      <c r="D34" s="7" t="s">
        <v>128</v>
      </c>
      <c r="E34" s="7" t="s">
        <v>126</v>
      </c>
      <c r="F34" s="7" t="s">
        <v>127</v>
      </c>
      <c r="G34" s="11">
        <v>1</v>
      </c>
      <c r="H34" s="11">
        <v>80333000</v>
      </c>
      <c r="I34" s="11" t="str">
        <f>"Tháng"&amp;" "&amp;MONTH(Du_Lieu[[#This Row],[Date]])</f>
        <v>Tháng 5</v>
      </c>
      <c r="J34" s="12">
        <f t="shared" si="0"/>
        <v>3438.91267123288</v>
      </c>
      <c r="K34" s="12" t="str">
        <f t="shared" si="1"/>
        <v>CLIENTELING OR CT</v>
      </c>
      <c r="L34" s="13">
        <f t="shared" si="2"/>
        <v>0.1</v>
      </c>
      <c r="M34" s="15"/>
      <c r="N34" s="7">
        <f>COUNTIF(F:F,Du_Lieu[[#This Row],[Invoice]])</f>
        <v>5</v>
      </c>
    </row>
    <row r="35" spans="1:14">
      <c r="A35" s="10">
        <v>44334</v>
      </c>
      <c r="B35" s="7" t="s">
        <v>13</v>
      </c>
      <c r="C35" s="7" t="s">
        <v>59</v>
      </c>
      <c r="D35" s="7" t="s">
        <v>129</v>
      </c>
      <c r="E35" s="7" t="s">
        <v>126</v>
      </c>
      <c r="F35" s="7" t="s">
        <v>127</v>
      </c>
      <c r="G35" s="11">
        <v>1</v>
      </c>
      <c r="H35" s="11">
        <v>7402000</v>
      </c>
      <c r="I35" s="11" t="str">
        <f>"Tháng"&amp;" "&amp;MONTH(Du_Lieu[[#This Row],[Date]])</f>
        <v>Tháng 5</v>
      </c>
      <c r="J35" s="12">
        <f t="shared" si="0"/>
        <v>316.866438356164</v>
      </c>
      <c r="K35" s="12" t="str">
        <f t="shared" si="1"/>
        <v>OTHER</v>
      </c>
      <c r="L35" s="13">
        <f t="shared" si="2"/>
        <v>0.1</v>
      </c>
      <c r="M35" s="15"/>
      <c r="N35" s="7">
        <f>COUNTIF(F:F,Du_Lieu[[#This Row],[Invoice]])</f>
        <v>5</v>
      </c>
    </row>
    <row r="36" spans="1:14">
      <c r="A36" s="10">
        <v>44334</v>
      </c>
      <c r="B36" s="7" t="s">
        <v>13</v>
      </c>
      <c r="C36" s="7" t="s">
        <v>59</v>
      </c>
      <c r="D36" s="7" t="s">
        <v>130</v>
      </c>
      <c r="E36" s="7" t="s">
        <v>126</v>
      </c>
      <c r="F36" s="7" t="s">
        <v>127</v>
      </c>
      <c r="G36" s="11">
        <v>1</v>
      </c>
      <c r="H36" s="11">
        <v>7402000</v>
      </c>
      <c r="I36" s="11" t="str">
        <f>"Tháng"&amp;" "&amp;MONTH(Du_Lieu[[#This Row],[Date]])</f>
        <v>Tháng 5</v>
      </c>
      <c r="J36" s="12">
        <f t="shared" si="0"/>
        <v>316.866438356164</v>
      </c>
      <c r="K36" s="12" t="str">
        <f t="shared" si="1"/>
        <v>OTHER</v>
      </c>
      <c r="L36" s="13">
        <f t="shared" si="2"/>
        <v>0.1</v>
      </c>
      <c r="M36" s="15"/>
      <c r="N36" s="7">
        <f>COUNTIF(F:F,Du_Lieu[[#This Row],[Invoice]])</f>
        <v>5</v>
      </c>
    </row>
    <row r="37" spans="1:14">
      <c r="A37" s="10">
        <v>44334</v>
      </c>
      <c r="B37" s="7" t="s">
        <v>13</v>
      </c>
      <c r="C37" s="7" t="s">
        <v>59</v>
      </c>
      <c r="D37" s="7" t="s">
        <v>131</v>
      </c>
      <c r="E37" s="7" t="s">
        <v>132</v>
      </c>
      <c r="F37" s="7" t="s">
        <v>133</v>
      </c>
      <c r="G37" s="11">
        <v>1</v>
      </c>
      <c r="H37" s="11">
        <v>6229000</v>
      </c>
      <c r="I37" s="11" t="str">
        <f>"Tháng"&amp;" "&amp;MONTH(Du_Lieu[[#This Row],[Date]])</f>
        <v>Tháng 5</v>
      </c>
      <c r="J37" s="12">
        <f t="shared" si="0"/>
        <v>266.652397260274</v>
      </c>
      <c r="K37" s="12" t="str">
        <f t="shared" si="1"/>
        <v>OTHER</v>
      </c>
      <c r="L37" s="13">
        <f t="shared" si="2"/>
        <v>1</v>
      </c>
      <c r="M37" s="15"/>
      <c r="N37" s="7">
        <f>COUNTIF(F:F,Du_Lieu[[#This Row],[Invoice]])</f>
        <v>1</v>
      </c>
    </row>
    <row r="38" spans="1:14">
      <c r="A38" s="10">
        <v>44335</v>
      </c>
      <c r="B38" s="7" t="s">
        <v>44</v>
      </c>
      <c r="C38" s="7" t="s">
        <v>59</v>
      </c>
      <c r="D38" s="7" t="s">
        <v>134</v>
      </c>
      <c r="E38" s="7" t="s">
        <v>135</v>
      </c>
      <c r="F38" s="7" t="s">
        <v>136</v>
      </c>
      <c r="G38" s="11">
        <v>1</v>
      </c>
      <c r="H38" s="11">
        <v>11554000</v>
      </c>
      <c r="I38" s="11" t="str">
        <f>"Tháng"&amp;" "&amp;MONTH(Du_Lieu[[#This Row],[Date]])</f>
        <v>Tháng 5</v>
      </c>
      <c r="J38" s="12">
        <f t="shared" si="0"/>
        <v>494.606164383562</v>
      </c>
      <c r="K38" s="12" t="str">
        <f t="shared" si="1"/>
        <v>OTHER</v>
      </c>
      <c r="L38" s="13">
        <f t="shared" si="2"/>
        <v>0.5</v>
      </c>
      <c r="M38" s="15"/>
      <c r="N38" s="7">
        <f>COUNTIF(F:F,Du_Lieu[[#This Row],[Invoice]])</f>
        <v>1</v>
      </c>
    </row>
    <row r="39" spans="1:14">
      <c r="A39" s="10">
        <v>44335</v>
      </c>
      <c r="B39" s="7" t="s">
        <v>44</v>
      </c>
      <c r="C39" s="7" t="s">
        <v>59</v>
      </c>
      <c r="D39" s="7" t="s">
        <v>137</v>
      </c>
      <c r="E39" s="7" t="s">
        <v>138</v>
      </c>
      <c r="F39" s="7" t="s">
        <v>139</v>
      </c>
      <c r="G39" s="11">
        <v>1</v>
      </c>
      <c r="H39" s="11">
        <v>11464000</v>
      </c>
      <c r="I39" s="11" t="str">
        <f>"Tháng"&amp;" "&amp;MONTH(Du_Lieu[[#This Row],[Date]])</f>
        <v>Tháng 5</v>
      </c>
      <c r="J39" s="12">
        <f t="shared" si="0"/>
        <v>490.753424657534</v>
      </c>
      <c r="K39" s="12" t="str">
        <f t="shared" si="1"/>
        <v>OTHER</v>
      </c>
      <c r="L39" s="13">
        <f t="shared" si="2"/>
        <v>0.5</v>
      </c>
      <c r="M39" s="15"/>
      <c r="N39" s="7">
        <f>COUNTIF(F:F,Du_Lieu[[#This Row],[Invoice]])</f>
        <v>2</v>
      </c>
    </row>
    <row r="40" spans="1:14">
      <c r="A40" s="10">
        <v>44335</v>
      </c>
      <c r="B40" s="7" t="s">
        <v>44</v>
      </c>
      <c r="C40" s="7" t="s">
        <v>59</v>
      </c>
      <c r="D40" s="7" t="s">
        <v>140</v>
      </c>
      <c r="E40" s="7" t="s">
        <v>138</v>
      </c>
      <c r="F40" s="7" t="s">
        <v>139</v>
      </c>
      <c r="G40" s="11">
        <v>1</v>
      </c>
      <c r="H40" s="11">
        <v>6229000</v>
      </c>
      <c r="I40" s="11" t="str">
        <f>"Tháng"&amp;" "&amp;MONTH(Du_Lieu[[#This Row],[Date]])</f>
        <v>Tháng 5</v>
      </c>
      <c r="J40" s="12">
        <f t="shared" si="0"/>
        <v>266.652397260274</v>
      </c>
      <c r="K40" s="12" t="str">
        <f t="shared" si="1"/>
        <v>OTHER</v>
      </c>
      <c r="L40" s="13">
        <f t="shared" si="2"/>
        <v>0.5</v>
      </c>
      <c r="M40" s="15"/>
      <c r="N40" s="7">
        <f>COUNTIF(F:F,Du_Lieu[[#This Row],[Invoice]])</f>
        <v>2</v>
      </c>
    </row>
    <row r="41" spans="1:14">
      <c r="A41" s="10">
        <v>44336</v>
      </c>
      <c r="B41" s="7" t="s">
        <v>44</v>
      </c>
      <c r="C41" s="7" t="s">
        <v>59</v>
      </c>
      <c r="D41" s="7" t="s">
        <v>60</v>
      </c>
      <c r="E41" s="7" t="s">
        <v>141</v>
      </c>
      <c r="F41" s="7" t="s">
        <v>142</v>
      </c>
      <c r="G41" s="11">
        <v>1</v>
      </c>
      <c r="H41" s="11">
        <v>5416000</v>
      </c>
      <c r="I41" s="11" t="str">
        <f>"Tháng"&amp;" "&amp;MONTH(Du_Lieu[[#This Row],[Date]])</f>
        <v>Tháng 5</v>
      </c>
      <c r="J41" s="12">
        <f t="shared" si="0"/>
        <v>231.849315068493</v>
      </c>
      <c r="K41" s="12" t="str">
        <f t="shared" si="1"/>
        <v>OTHER</v>
      </c>
      <c r="L41" s="13">
        <f t="shared" si="2"/>
        <v>1</v>
      </c>
      <c r="M41" s="15"/>
      <c r="N41" s="7">
        <f>COUNTIF(F:F,Du_Lieu[[#This Row],[Invoice]])</f>
        <v>1</v>
      </c>
    </row>
    <row r="42" spans="1:14">
      <c r="A42" s="10">
        <v>44336</v>
      </c>
      <c r="B42" s="7" t="s">
        <v>44</v>
      </c>
      <c r="C42" s="7" t="s">
        <v>59</v>
      </c>
      <c r="D42" s="7" t="s">
        <v>143</v>
      </c>
      <c r="E42" s="7" t="s">
        <v>144</v>
      </c>
      <c r="F42" s="7" t="s">
        <v>145</v>
      </c>
      <c r="G42" s="11">
        <v>1</v>
      </c>
      <c r="H42" s="11">
        <v>37008000</v>
      </c>
      <c r="I42" s="11" t="str">
        <f>"Tháng"&amp;" "&amp;MONTH(Du_Lieu[[#This Row],[Date]])</f>
        <v>Tháng 5</v>
      </c>
      <c r="J42" s="12">
        <f t="shared" si="0"/>
        <v>1584.24657534247</v>
      </c>
      <c r="K42" s="12" t="str">
        <f t="shared" si="1"/>
        <v>OTHER</v>
      </c>
      <c r="L42" s="13">
        <f t="shared" si="2"/>
        <v>1</v>
      </c>
      <c r="M42" s="15"/>
      <c r="N42" s="7">
        <f>COUNTIF(F:F,Du_Lieu[[#This Row],[Invoice]])</f>
        <v>1</v>
      </c>
    </row>
    <row r="43" spans="1:14">
      <c r="A43" s="10">
        <v>44338</v>
      </c>
      <c r="B43" s="7" t="s">
        <v>44</v>
      </c>
      <c r="C43" s="7" t="s">
        <v>59</v>
      </c>
      <c r="D43" s="7" t="s">
        <v>146</v>
      </c>
      <c r="E43" s="7" t="s">
        <v>147</v>
      </c>
      <c r="F43" s="7" t="s">
        <v>148</v>
      </c>
      <c r="G43" s="11">
        <v>1</v>
      </c>
      <c r="H43" s="11">
        <v>36105000</v>
      </c>
      <c r="I43" s="11" t="str">
        <f>"Tháng"&amp;" "&amp;MONTH(Du_Lieu[[#This Row],[Date]])</f>
        <v>Tháng 5</v>
      </c>
      <c r="J43" s="12">
        <f t="shared" si="0"/>
        <v>1545.59075342466</v>
      </c>
      <c r="K43" s="12" t="str">
        <f t="shared" si="1"/>
        <v>OTHER</v>
      </c>
      <c r="L43" s="13">
        <f t="shared" si="2"/>
        <v>1</v>
      </c>
      <c r="M43" s="15"/>
      <c r="N43" s="7">
        <f>COUNTIF(F:F,Du_Lieu[[#This Row],[Invoice]])</f>
        <v>1</v>
      </c>
    </row>
    <row r="44" spans="1:14">
      <c r="A44" s="10">
        <v>44338</v>
      </c>
      <c r="B44" s="7" t="s">
        <v>44</v>
      </c>
      <c r="C44" s="7" t="s">
        <v>59</v>
      </c>
      <c r="D44" s="7" t="s">
        <v>149</v>
      </c>
      <c r="E44" s="7" t="s">
        <v>150</v>
      </c>
      <c r="F44" s="7" t="s">
        <v>151</v>
      </c>
      <c r="G44" s="11">
        <v>1</v>
      </c>
      <c r="H44" s="11">
        <v>56865000</v>
      </c>
      <c r="I44" s="11" t="str">
        <f>"Tháng"&amp;" "&amp;MONTH(Du_Lieu[[#This Row],[Date]])</f>
        <v>Tháng 5</v>
      </c>
      <c r="J44" s="12">
        <f t="shared" si="0"/>
        <v>2434.28938356164</v>
      </c>
      <c r="K44" s="12" t="str">
        <f t="shared" si="1"/>
        <v>OTHER</v>
      </c>
      <c r="L44" s="13">
        <f t="shared" si="2"/>
        <v>1</v>
      </c>
      <c r="M44" s="15"/>
      <c r="N44" s="7">
        <f>COUNTIF(F:F,Du_Lieu[[#This Row],[Invoice]])</f>
        <v>1</v>
      </c>
    </row>
    <row r="45" spans="1:14">
      <c r="A45" s="10">
        <v>44338</v>
      </c>
      <c r="B45" s="7" t="s">
        <v>44</v>
      </c>
      <c r="C45" s="7" t="s">
        <v>59</v>
      </c>
      <c r="D45" s="7" t="s">
        <v>152</v>
      </c>
      <c r="E45" s="7" t="s">
        <v>153</v>
      </c>
      <c r="F45" s="7" t="s">
        <v>154</v>
      </c>
      <c r="G45" s="11">
        <v>1</v>
      </c>
      <c r="H45" s="11">
        <v>26176000</v>
      </c>
      <c r="I45" s="11" t="str">
        <f>"Tháng"&amp;" "&amp;MONTH(Du_Lieu[[#This Row],[Date]])</f>
        <v>Tháng 5</v>
      </c>
      <c r="J45" s="12">
        <f t="shared" si="0"/>
        <v>1120.54794520548</v>
      </c>
      <c r="K45" s="12" t="str">
        <f t="shared" si="1"/>
        <v>OTHER</v>
      </c>
      <c r="L45" s="13">
        <f t="shared" si="2"/>
        <v>1</v>
      </c>
      <c r="M45" s="15"/>
      <c r="N45" s="7">
        <f>COUNTIF(F:F,Du_Lieu[[#This Row],[Invoice]])</f>
        <v>1</v>
      </c>
    </row>
    <row r="46" spans="1:14">
      <c r="A46" s="10">
        <v>44338</v>
      </c>
      <c r="B46" s="7" t="s">
        <v>13</v>
      </c>
      <c r="C46" s="7" t="s">
        <v>59</v>
      </c>
      <c r="D46" s="7" t="s">
        <v>155</v>
      </c>
      <c r="E46" s="7" t="s">
        <v>156</v>
      </c>
      <c r="F46" s="7" t="s">
        <v>157</v>
      </c>
      <c r="G46" s="11">
        <v>1</v>
      </c>
      <c r="H46" s="11">
        <v>55060000</v>
      </c>
      <c r="I46" s="11" t="str">
        <f>"Tháng"&amp;" "&amp;MONTH(Du_Lieu[[#This Row],[Date]])</f>
        <v>Tháng 5</v>
      </c>
      <c r="J46" s="12">
        <f t="shared" si="0"/>
        <v>2357.02054794521</v>
      </c>
      <c r="K46" s="12" t="str">
        <f t="shared" si="1"/>
        <v>OTHER</v>
      </c>
      <c r="L46" s="13">
        <f t="shared" si="2"/>
        <v>0.25</v>
      </c>
      <c r="M46" s="15"/>
      <c r="N46" s="7">
        <f>COUNTIF(F:F,Du_Lieu[[#This Row],[Invoice]])</f>
        <v>2</v>
      </c>
    </row>
    <row r="47" spans="1:14">
      <c r="A47" s="10">
        <v>44338</v>
      </c>
      <c r="B47" s="7" t="s">
        <v>13</v>
      </c>
      <c r="C47" s="7" t="s">
        <v>59</v>
      </c>
      <c r="D47" s="7" t="s">
        <v>158</v>
      </c>
      <c r="E47" s="7" t="s">
        <v>156</v>
      </c>
      <c r="F47" s="7" t="s">
        <v>157</v>
      </c>
      <c r="G47" s="11">
        <v>1</v>
      </c>
      <c r="H47" s="11">
        <v>103801000</v>
      </c>
      <c r="I47" s="11" t="str">
        <f>"Tháng"&amp;" "&amp;MONTH(Du_Lieu[[#This Row],[Date]])</f>
        <v>Tháng 5</v>
      </c>
      <c r="J47" s="12">
        <f t="shared" si="0"/>
        <v>4443.53595890411</v>
      </c>
      <c r="K47" s="12" t="str">
        <f t="shared" si="1"/>
        <v>CLIENTELING OR CT</v>
      </c>
      <c r="L47" s="13">
        <f t="shared" si="2"/>
        <v>0.25</v>
      </c>
      <c r="M47" s="15"/>
      <c r="N47" s="7">
        <f>COUNTIF(F:F,Du_Lieu[[#This Row],[Invoice]])</f>
        <v>2</v>
      </c>
    </row>
    <row r="48" spans="1:14">
      <c r="A48" s="10">
        <v>44338</v>
      </c>
      <c r="B48" s="7" t="s">
        <v>44</v>
      </c>
      <c r="C48" s="7" t="s">
        <v>59</v>
      </c>
      <c r="D48" s="7" t="s">
        <v>159</v>
      </c>
      <c r="E48" s="7" t="s">
        <v>160</v>
      </c>
      <c r="F48" s="7" t="s">
        <v>161</v>
      </c>
      <c r="G48" s="11">
        <v>1</v>
      </c>
      <c r="H48" s="11">
        <v>5416000</v>
      </c>
      <c r="I48" s="11" t="str">
        <f>"Tháng"&amp;" "&amp;MONTH(Du_Lieu[[#This Row],[Date]])</f>
        <v>Tháng 5</v>
      </c>
      <c r="J48" s="12">
        <f t="shared" si="0"/>
        <v>231.849315068493</v>
      </c>
      <c r="K48" s="12" t="str">
        <f t="shared" si="1"/>
        <v>OTHER</v>
      </c>
      <c r="L48" s="13">
        <f t="shared" si="2"/>
        <v>1</v>
      </c>
      <c r="M48" s="15"/>
      <c r="N48" s="7">
        <f>COUNTIF(F:F,Du_Lieu[[#This Row],[Invoice]])</f>
        <v>1</v>
      </c>
    </row>
    <row r="49" spans="1:14">
      <c r="A49" s="10">
        <v>44338</v>
      </c>
      <c r="B49" s="7" t="s">
        <v>13</v>
      </c>
      <c r="C49" s="7" t="s">
        <v>59</v>
      </c>
      <c r="D49" s="7" t="s">
        <v>162</v>
      </c>
      <c r="E49" s="7" t="s">
        <v>163</v>
      </c>
      <c r="F49" s="7" t="s">
        <v>164</v>
      </c>
      <c r="G49" s="11">
        <v>1</v>
      </c>
      <c r="H49" s="11">
        <v>83041000</v>
      </c>
      <c r="I49" s="11" t="str">
        <f>"Tháng"&amp;" "&amp;MONTH(Du_Lieu[[#This Row],[Date]])</f>
        <v>Tháng 5</v>
      </c>
      <c r="J49" s="12">
        <f t="shared" si="0"/>
        <v>3554.83732876712</v>
      </c>
      <c r="K49" s="12" t="str">
        <f t="shared" si="1"/>
        <v>CLIENTELING OR CT</v>
      </c>
      <c r="L49" s="13">
        <f t="shared" si="2"/>
        <v>0.166666666666667</v>
      </c>
      <c r="M49" s="15"/>
      <c r="N49" s="7">
        <f>COUNTIF(F:F,Du_Lieu[[#This Row],[Invoice]])</f>
        <v>3</v>
      </c>
    </row>
    <row r="50" spans="1:14">
      <c r="A50" s="10">
        <v>44338</v>
      </c>
      <c r="B50" s="7" t="s">
        <v>13</v>
      </c>
      <c r="C50" s="7" t="s">
        <v>59</v>
      </c>
      <c r="D50" s="7" t="s">
        <v>165</v>
      </c>
      <c r="E50" s="7" t="s">
        <v>163</v>
      </c>
      <c r="F50" s="7" t="s">
        <v>164</v>
      </c>
      <c r="G50" s="11">
        <v>1</v>
      </c>
      <c r="H50" s="11">
        <v>8666000</v>
      </c>
      <c r="I50" s="11" t="str">
        <f>"Tháng"&amp;" "&amp;MONTH(Du_Lieu[[#This Row],[Date]])</f>
        <v>Tháng 5</v>
      </c>
      <c r="J50" s="12">
        <f t="shared" si="0"/>
        <v>370.97602739726</v>
      </c>
      <c r="K50" s="12" t="str">
        <f t="shared" si="1"/>
        <v>OTHER</v>
      </c>
      <c r="L50" s="13">
        <f t="shared" si="2"/>
        <v>0.166666666666667</v>
      </c>
      <c r="M50" s="15"/>
      <c r="N50" s="7">
        <f>COUNTIF(F:F,Du_Lieu[[#This Row],[Invoice]])</f>
        <v>3</v>
      </c>
    </row>
    <row r="51" spans="1:14">
      <c r="A51" s="10">
        <v>44338</v>
      </c>
      <c r="B51" s="7" t="s">
        <v>13</v>
      </c>
      <c r="C51" s="7" t="s">
        <v>59</v>
      </c>
      <c r="D51" s="7" t="s">
        <v>166</v>
      </c>
      <c r="E51" s="7" t="s">
        <v>163</v>
      </c>
      <c r="F51" s="7" t="s">
        <v>164</v>
      </c>
      <c r="G51" s="11">
        <v>1</v>
      </c>
      <c r="H51" s="11">
        <v>67697000</v>
      </c>
      <c r="I51" s="11" t="str">
        <f>"Tháng"&amp;" "&amp;MONTH(Du_Lieu[[#This Row],[Date]])</f>
        <v>Tháng 5</v>
      </c>
      <c r="J51" s="12">
        <f t="shared" si="0"/>
        <v>2897.98801369863</v>
      </c>
      <c r="K51" s="12" t="str">
        <f t="shared" si="1"/>
        <v>OTHER</v>
      </c>
      <c r="L51" s="13">
        <f t="shared" si="2"/>
        <v>0.166666666666667</v>
      </c>
      <c r="M51" s="15"/>
      <c r="N51" s="7">
        <f>COUNTIF(F:F,Du_Lieu[[#This Row],[Invoice]])</f>
        <v>3</v>
      </c>
    </row>
    <row r="52" spans="1:14">
      <c r="A52" s="10">
        <v>44338</v>
      </c>
      <c r="B52" s="7" t="s">
        <v>44</v>
      </c>
      <c r="C52" s="7" t="s">
        <v>59</v>
      </c>
      <c r="D52" s="7" t="s">
        <v>118</v>
      </c>
      <c r="E52" s="7" t="s">
        <v>167</v>
      </c>
      <c r="F52" s="7" t="s">
        <v>168</v>
      </c>
      <c r="G52" s="11">
        <v>1</v>
      </c>
      <c r="H52" s="11">
        <v>35203000</v>
      </c>
      <c r="I52" s="11" t="str">
        <f>"Tháng"&amp;" "&amp;MONTH(Du_Lieu[[#This Row],[Date]])</f>
        <v>Tháng 5</v>
      </c>
      <c r="J52" s="12">
        <f t="shared" si="0"/>
        <v>1506.97773972603</v>
      </c>
      <c r="K52" s="12" t="str">
        <f t="shared" si="1"/>
        <v>OTHER</v>
      </c>
      <c r="L52" s="13">
        <f t="shared" si="2"/>
        <v>0.5</v>
      </c>
      <c r="M52" s="15"/>
      <c r="N52" s="7">
        <f>COUNTIF(F:F,Du_Lieu[[#This Row],[Invoice]])</f>
        <v>2</v>
      </c>
    </row>
    <row r="53" spans="1:14">
      <c r="A53" s="10">
        <v>44338</v>
      </c>
      <c r="B53" s="7" t="s">
        <v>44</v>
      </c>
      <c r="C53" s="7" t="s">
        <v>59</v>
      </c>
      <c r="D53" s="7" t="s">
        <v>169</v>
      </c>
      <c r="E53" s="7" t="s">
        <v>167</v>
      </c>
      <c r="F53" s="7" t="s">
        <v>168</v>
      </c>
      <c r="G53" s="11">
        <v>1</v>
      </c>
      <c r="H53" s="11">
        <v>34300000</v>
      </c>
      <c r="I53" s="11" t="str">
        <f>"Tháng"&amp;" "&amp;MONTH(Du_Lieu[[#This Row],[Date]])</f>
        <v>Tháng 5</v>
      </c>
      <c r="J53" s="12">
        <f t="shared" si="0"/>
        <v>1468.32191780822</v>
      </c>
      <c r="K53" s="12" t="str">
        <f t="shared" si="1"/>
        <v>OTHER</v>
      </c>
      <c r="L53" s="13">
        <f t="shared" si="2"/>
        <v>0.5</v>
      </c>
      <c r="M53" s="15"/>
      <c r="N53" s="7">
        <f>COUNTIF(F:F,Du_Lieu[[#This Row],[Invoice]])</f>
        <v>2</v>
      </c>
    </row>
    <row r="54" spans="1:14">
      <c r="A54" s="10">
        <v>44338</v>
      </c>
      <c r="B54" s="7" t="s">
        <v>13</v>
      </c>
      <c r="C54" s="7" t="s">
        <v>59</v>
      </c>
      <c r="D54" s="7" t="s">
        <v>170</v>
      </c>
      <c r="E54" s="7" t="s">
        <v>171</v>
      </c>
      <c r="F54" s="7" t="s">
        <v>172</v>
      </c>
      <c r="G54" s="11">
        <v>1</v>
      </c>
      <c r="H54" s="11">
        <v>43326000</v>
      </c>
      <c r="I54" s="11" t="str">
        <f>"Tháng"&amp;" "&amp;MONTH(Du_Lieu[[#This Row],[Date]])</f>
        <v>Tháng 5</v>
      </c>
      <c r="J54" s="12">
        <f t="shared" si="0"/>
        <v>1854.70890410959</v>
      </c>
      <c r="K54" s="12" t="str">
        <f t="shared" si="1"/>
        <v>OTHER</v>
      </c>
      <c r="L54" s="13">
        <f t="shared" si="2"/>
        <v>0.333333333333333</v>
      </c>
      <c r="M54" s="15"/>
      <c r="N54" s="7">
        <f>COUNTIF(F:F,Du_Lieu[[#This Row],[Invoice]])</f>
        <v>2</v>
      </c>
    </row>
    <row r="55" spans="1:14">
      <c r="A55" s="10">
        <v>44338</v>
      </c>
      <c r="B55" s="7" t="s">
        <v>13</v>
      </c>
      <c r="C55" s="7" t="s">
        <v>59</v>
      </c>
      <c r="D55" s="7" t="s">
        <v>173</v>
      </c>
      <c r="E55" s="7" t="s">
        <v>171</v>
      </c>
      <c r="F55" s="7" t="s">
        <v>172</v>
      </c>
      <c r="G55" s="11">
        <v>1</v>
      </c>
      <c r="H55" s="11">
        <v>43326000</v>
      </c>
      <c r="I55" s="11" t="str">
        <f>"Tháng"&amp;" "&amp;MONTH(Du_Lieu[[#This Row],[Date]])</f>
        <v>Tháng 5</v>
      </c>
      <c r="J55" s="12">
        <f t="shared" si="0"/>
        <v>1854.70890410959</v>
      </c>
      <c r="K55" s="12" t="str">
        <f t="shared" si="1"/>
        <v>OTHER</v>
      </c>
      <c r="L55" s="13">
        <f t="shared" si="2"/>
        <v>0.333333333333333</v>
      </c>
      <c r="M55" s="15"/>
      <c r="N55" s="7">
        <f>COUNTIF(F:F,Du_Lieu[[#This Row],[Invoice]])</f>
        <v>2</v>
      </c>
    </row>
    <row r="56" spans="1:14">
      <c r="A56" s="10">
        <v>44338</v>
      </c>
      <c r="B56" s="7" t="s">
        <v>44</v>
      </c>
      <c r="C56" s="7" t="s">
        <v>59</v>
      </c>
      <c r="D56" s="7" t="s">
        <v>174</v>
      </c>
      <c r="E56" s="7" t="s">
        <v>175</v>
      </c>
      <c r="F56" s="7" t="s">
        <v>176</v>
      </c>
      <c r="G56" s="11">
        <v>1</v>
      </c>
      <c r="H56" s="11">
        <v>12366000</v>
      </c>
      <c r="I56" s="11" t="str">
        <f>"Tháng"&amp;" "&amp;MONTH(Du_Lieu[[#This Row],[Date]])</f>
        <v>Tháng 5</v>
      </c>
      <c r="J56" s="12">
        <f t="shared" si="0"/>
        <v>529.366438356164</v>
      </c>
      <c r="K56" s="12" t="str">
        <f t="shared" si="1"/>
        <v>OTHER</v>
      </c>
      <c r="L56" s="13">
        <f t="shared" si="2"/>
        <v>1</v>
      </c>
      <c r="M56" s="15"/>
      <c r="N56" s="7">
        <f>COUNTIF(F:F,Du_Lieu[[#This Row],[Invoice]])</f>
        <v>1</v>
      </c>
    </row>
    <row r="57" spans="1:14">
      <c r="A57" s="10">
        <v>44339</v>
      </c>
      <c r="B57" s="7" t="s">
        <v>13</v>
      </c>
      <c r="C57" s="7" t="s">
        <v>59</v>
      </c>
      <c r="D57" s="7" t="s">
        <v>177</v>
      </c>
      <c r="E57" s="7" t="s">
        <v>178</v>
      </c>
      <c r="F57" s="7" t="s">
        <v>179</v>
      </c>
      <c r="G57" s="11">
        <v>1</v>
      </c>
      <c r="H57" s="11">
        <v>13630000</v>
      </c>
      <c r="I57" s="11" t="str">
        <f>"Tháng"&amp;" "&amp;MONTH(Du_Lieu[[#This Row],[Date]])</f>
        <v>Tháng 5</v>
      </c>
      <c r="J57" s="12">
        <f t="shared" si="0"/>
        <v>583.47602739726</v>
      </c>
      <c r="K57" s="12" t="str">
        <f t="shared" si="1"/>
        <v>OTHER</v>
      </c>
      <c r="L57" s="13">
        <f t="shared" si="2"/>
        <v>1</v>
      </c>
      <c r="M57" s="15"/>
      <c r="N57" s="7">
        <f>COUNTIF(F:F,Du_Lieu[[#This Row],[Invoice]])</f>
        <v>1</v>
      </c>
    </row>
    <row r="58" spans="1:14">
      <c r="A58" s="10">
        <v>44339</v>
      </c>
      <c r="B58" s="7" t="s">
        <v>13</v>
      </c>
      <c r="C58" s="7" t="s">
        <v>59</v>
      </c>
      <c r="D58" s="7" t="s">
        <v>180</v>
      </c>
      <c r="E58" s="7" t="s">
        <v>181</v>
      </c>
      <c r="F58" s="7" t="s">
        <v>182</v>
      </c>
      <c r="G58" s="11">
        <v>1</v>
      </c>
      <c r="H58" s="11">
        <v>22566000</v>
      </c>
      <c r="I58" s="11" t="str">
        <f>"Tháng"&amp;" "&amp;MONTH(Du_Lieu[[#This Row],[Date]])</f>
        <v>Tháng 5</v>
      </c>
      <c r="J58" s="12">
        <f t="shared" si="0"/>
        <v>966.010273972603</v>
      </c>
      <c r="K58" s="12" t="str">
        <f t="shared" si="1"/>
        <v>OTHER</v>
      </c>
      <c r="L58" s="13">
        <f t="shared" si="2"/>
        <v>0.333333333333333</v>
      </c>
      <c r="M58" s="15"/>
      <c r="N58" s="7">
        <f>COUNTIF(F:F,Du_Lieu[[#This Row],[Invoice]])</f>
        <v>2</v>
      </c>
    </row>
    <row r="59" spans="1:14">
      <c r="A59" s="10">
        <v>44339</v>
      </c>
      <c r="B59" s="7" t="s">
        <v>13</v>
      </c>
      <c r="C59" s="7" t="s">
        <v>59</v>
      </c>
      <c r="D59" s="7" t="s">
        <v>146</v>
      </c>
      <c r="E59" s="7" t="s">
        <v>181</v>
      </c>
      <c r="F59" s="7" t="s">
        <v>182</v>
      </c>
      <c r="G59" s="11">
        <v>1</v>
      </c>
      <c r="H59" s="11">
        <v>36105000</v>
      </c>
      <c r="I59" s="11" t="str">
        <f>"Tháng"&amp;" "&amp;MONTH(Du_Lieu[[#This Row],[Date]])</f>
        <v>Tháng 5</v>
      </c>
      <c r="J59" s="12">
        <f t="shared" si="0"/>
        <v>1545.59075342466</v>
      </c>
      <c r="K59" s="12" t="str">
        <f t="shared" si="1"/>
        <v>OTHER</v>
      </c>
      <c r="L59" s="13">
        <f t="shared" si="2"/>
        <v>0.333333333333333</v>
      </c>
      <c r="M59" s="15"/>
      <c r="N59" s="7">
        <f>COUNTIF(F:F,Du_Lieu[[#This Row],[Invoice]])</f>
        <v>2</v>
      </c>
    </row>
    <row r="60" spans="1:14">
      <c r="A60" s="10">
        <v>44339</v>
      </c>
      <c r="B60" s="7" t="s">
        <v>13</v>
      </c>
      <c r="C60" s="7" t="s">
        <v>59</v>
      </c>
      <c r="D60" s="7" t="s">
        <v>183</v>
      </c>
      <c r="E60" s="7" t="s">
        <v>156</v>
      </c>
      <c r="F60" s="7" t="s">
        <v>184</v>
      </c>
      <c r="G60" s="11">
        <v>1</v>
      </c>
      <c r="H60" s="11">
        <v>48742000</v>
      </c>
      <c r="I60" s="11" t="str">
        <f>"Tháng"&amp;" "&amp;MONTH(Du_Lieu[[#This Row],[Date]])</f>
        <v>Tháng 5</v>
      </c>
      <c r="J60" s="12">
        <f t="shared" si="0"/>
        <v>2086.55821917808</v>
      </c>
      <c r="K60" s="12" t="str">
        <f t="shared" si="1"/>
        <v>OTHER</v>
      </c>
      <c r="L60" s="13">
        <f t="shared" si="2"/>
        <v>0.25</v>
      </c>
      <c r="M60" s="15"/>
      <c r="N60" s="7">
        <f>COUNTIF(F:F,Du_Lieu[[#This Row],[Invoice]])</f>
        <v>1</v>
      </c>
    </row>
    <row r="61" spans="1:14">
      <c r="A61" s="10">
        <v>44339</v>
      </c>
      <c r="B61" s="7" t="s">
        <v>44</v>
      </c>
      <c r="C61" s="7" t="s">
        <v>59</v>
      </c>
      <c r="D61" s="7" t="s">
        <v>185</v>
      </c>
      <c r="E61" s="7" t="s">
        <v>186</v>
      </c>
      <c r="F61" s="7" t="s">
        <v>187</v>
      </c>
      <c r="G61" s="11">
        <v>1</v>
      </c>
      <c r="H61" s="11">
        <v>8124000</v>
      </c>
      <c r="I61" s="11" t="str">
        <f>"Tháng"&amp;" "&amp;MONTH(Du_Lieu[[#This Row],[Date]])</f>
        <v>Tháng 5</v>
      </c>
      <c r="J61" s="12">
        <f t="shared" si="0"/>
        <v>347.77397260274</v>
      </c>
      <c r="K61" s="12" t="str">
        <f t="shared" si="1"/>
        <v>OTHER</v>
      </c>
      <c r="L61" s="13">
        <f t="shared" si="2"/>
        <v>1</v>
      </c>
      <c r="M61" s="15"/>
      <c r="N61" s="7">
        <f>COUNTIF(F:F,Du_Lieu[[#This Row],[Invoice]])</f>
        <v>1</v>
      </c>
    </row>
    <row r="62" spans="1:14">
      <c r="A62" s="10">
        <v>44339</v>
      </c>
      <c r="B62" s="7" t="s">
        <v>44</v>
      </c>
      <c r="C62" s="7" t="s">
        <v>59</v>
      </c>
      <c r="D62" s="7" t="s">
        <v>188</v>
      </c>
      <c r="E62" s="7" t="s">
        <v>189</v>
      </c>
      <c r="F62" s="7" t="s">
        <v>190</v>
      </c>
      <c r="G62" s="11">
        <v>1</v>
      </c>
      <c r="H62" s="11">
        <v>24371000</v>
      </c>
      <c r="I62" s="11" t="str">
        <f>"Tháng"&amp;" "&amp;MONTH(Du_Lieu[[#This Row],[Date]])</f>
        <v>Tháng 5</v>
      </c>
      <c r="J62" s="12">
        <f t="shared" si="0"/>
        <v>1043.27910958904</v>
      </c>
      <c r="K62" s="12" t="str">
        <f t="shared" si="1"/>
        <v>OTHER</v>
      </c>
      <c r="L62" s="13">
        <f t="shared" si="2"/>
        <v>0.5</v>
      </c>
      <c r="M62" s="15"/>
      <c r="N62" s="7">
        <f>COUNTIF(F:F,Du_Lieu[[#This Row],[Invoice]])</f>
        <v>1</v>
      </c>
    </row>
    <row r="63" spans="1:14">
      <c r="A63" s="10">
        <v>44339</v>
      </c>
      <c r="B63" s="7" t="s">
        <v>44</v>
      </c>
      <c r="C63" s="7" t="s">
        <v>59</v>
      </c>
      <c r="D63" s="7" t="s">
        <v>191</v>
      </c>
      <c r="E63" s="7" t="s">
        <v>189</v>
      </c>
      <c r="F63" s="7" t="s">
        <v>192</v>
      </c>
      <c r="G63" s="11">
        <v>1</v>
      </c>
      <c r="H63" s="11">
        <v>24371000</v>
      </c>
      <c r="I63" s="11" t="str">
        <f>"Tháng"&amp;" "&amp;MONTH(Du_Lieu[[#This Row],[Date]])</f>
        <v>Tháng 5</v>
      </c>
      <c r="J63" s="12">
        <f t="shared" si="0"/>
        <v>1043.27910958904</v>
      </c>
      <c r="K63" s="12" t="str">
        <f t="shared" si="1"/>
        <v>OTHER</v>
      </c>
      <c r="L63" s="13">
        <f t="shared" si="2"/>
        <v>0.5</v>
      </c>
      <c r="M63" s="15"/>
      <c r="N63" s="7">
        <f>COUNTIF(F:F,Du_Lieu[[#This Row],[Invoice]])</f>
        <v>1</v>
      </c>
    </row>
    <row r="64" spans="1:14">
      <c r="A64" s="10">
        <v>44339</v>
      </c>
      <c r="B64" s="7" t="s">
        <v>44</v>
      </c>
      <c r="C64" s="7" t="s">
        <v>59</v>
      </c>
      <c r="D64" s="7" t="s">
        <v>137</v>
      </c>
      <c r="E64" s="7" t="s">
        <v>193</v>
      </c>
      <c r="F64" s="7" t="s">
        <v>194</v>
      </c>
      <c r="G64" s="11">
        <v>1</v>
      </c>
      <c r="H64" s="11">
        <v>11464000</v>
      </c>
      <c r="I64" s="11" t="str">
        <f>"Tháng"&amp;" "&amp;MONTH(Du_Lieu[[#This Row],[Date]])</f>
        <v>Tháng 5</v>
      </c>
      <c r="J64" s="12">
        <f t="shared" si="0"/>
        <v>490.753424657534</v>
      </c>
      <c r="K64" s="12" t="str">
        <f t="shared" si="1"/>
        <v>OTHER</v>
      </c>
      <c r="L64" s="13">
        <f t="shared" si="2"/>
        <v>1</v>
      </c>
      <c r="M64" s="15"/>
      <c r="N64" s="7">
        <f>COUNTIF(F:F,Du_Lieu[[#This Row],[Invoice]])</f>
        <v>1</v>
      </c>
    </row>
    <row r="65" spans="1:14">
      <c r="A65" s="10">
        <v>44339</v>
      </c>
      <c r="B65" s="7" t="s">
        <v>13</v>
      </c>
      <c r="C65" s="7" t="s">
        <v>59</v>
      </c>
      <c r="D65" s="7" t="s">
        <v>195</v>
      </c>
      <c r="E65" s="7" t="s">
        <v>196</v>
      </c>
      <c r="F65" s="7" t="s">
        <v>197</v>
      </c>
      <c r="G65" s="11">
        <v>1</v>
      </c>
      <c r="H65" s="11">
        <v>34300000</v>
      </c>
      <c r="I65" s="11" t="str">
        <f>"Tháng"&amp;" "&amp;MONTH(Du_Lieu[[#This Row],[Date]])</f>
        <v>Tháng 5</v>
      </c>
      <c r="J65" s="12">
        <f t="shared" si="0"/>
        <v>1468.32191780822</v>
      </c>
      <c r="K65" s="12" t="str">
        <f t="shared" si="1"/>
        <v>OTHER</v>
      </c>
      <c r="L65" s="13">
        <f t="shared" si="2"/>
        <v>0.333333333333333</v>
      </c>
      <c r="M65" s="15"/>
      <c r="N65" s="7">
        <f>COUNTIF(F:F,Du_Lieu[[#This Row],[Invoice]])</f>
        <v>3</v>
      </c>
    </row>
    <row r="66" spans="1:14">
      <c r="A66" s="10">
        <v>44339</v>
      </c>
      <c r="B66" s="7" t="s">
        <v>13</v>
      </c>
      <c r="C66" s="7" t="s">
        <v>59</v>
      </c>
      <c r="D66" s="7" t="s">
        <v>198</v>
      </c>
      <c r="E66" s="7" t="s">
        <v>196</v>
      </c>
      <c r="F66" s="7" t="s">
        <v>197</v>
      </c>
      <c r="G66" s="11">
        <v>1</v>
      </c>
      <c r="H66" s="11">
        <v>55060000</v>
      </c>
      <c r="I66" s="11" t="str">
        <f>"Tháng"&amp;" "&amp;MONTH(Du_Lieu[[#This Row],[Date]])</f>
        <v>Tháng 5</v>
      </c>
      <c r="J66" s="12">
        <f t="shared" si="0"/>
        <v>2357.02054794521</v>
      </c>
      <c r="K66" s="12" t="str">
        <f t="shared" si="1"/>
        <v>OTHER</v>
      </c>
      <c r="L66" s="13">
        <f t="shared" si="2"/>
        <v>0.333333333333333</v>
      </c>
      <c r="M66" s="15"/>
      <c r="N66" s="7">
        <f>COUNTIF(F:F,Du_Lieu[[#This Row],[Invoice]])</f>
        <v>3</v>
      </c>
    </row>
    <row r="67" spans="1:14">
      <c r="A67" s="10">
        <v>44339</v>
      </c>
      <c r="B67" s="7" t="s">
        <v>13</v>
      </c>
      <c r="C67" s="7" t="s">
        <v>59</v>
      </c>
      <c r="D67" s="7" t="s">
        <v>199</v>
      </c>
      <c r="E67" s="7" t="s">
        <v>196</v>
      </c>
      <c r="F67" s="7" t="s">
        <v>197</v>
      </c>
      <c r="G67" s="11">
        <v>1</v>
      </c>
      <c r="H67" s="11">
        <v>48742000</v>
      </c>
      <c r="I67" s="11" t="str">
        <f>"Tháng"&amp;" "&amp;MONTH(Du_Lieu[[#This Row],[Date]])</f>
        <v>Tháng 5</v>
      </c>
      <c r="J67" s="12">
        <f t="shared" ref="J67:J130" si="3">H67/$M$2</f>
        <v>2086.55821917808</v>
      </c>
      <c r="K67" s="12" t="str">
        <f t="shared" ref="K67:K130" si="4">IF(J67&gt;50000,"PLATINUM",IF(AND(J67&gt;25000,J67&lt;50000),"GOLD",IF(AND(J67&gt;10000,J67&lt;25000),"SILVER",IF(AND(J67&gt;3000,J67&lt;10000),"CLIENTELING OR CT","OTHER"))))</f>
        <v>OTHER</v>
      </c>
      <c r="L67" s="13">
        <f t="shared" ref="L67:L130" si="5">1/COUNTIF(E:E,E67)</f>
        <v>0.333333333333333</v>
      </c>
      <c r="M67" s="15"/>
      <c r="N67" s="7">
        <f>COUNTIF(F:F,Du_Lieu[[#This Row],[Invoice]])</f>
        <v>3</v>
      </c>
    </row>
    <row r="68" spans="1:14">
      <c r="A68" s="10">
        <v>44339</v>
      </c>
      <c r="B68" s="7" t="s">
        <v>200</v>
      </c>
      <c r="C68" s="7" t="s">
        <v>59</v>
      </c>
      <c r="D68" s="7" t="s">
        <v>201</v>
      </c>
      <c r="E68" s="7" t="s">
        <v>202</v>
      </c>
      <c r="F68" s="7" t="s">
        <v>203</v>
      </c>
      <c r="G68" s="11">
        <v>1</v>
      </c>
      <c r="H68" s="11">
        <v>11464000</v>
      </c>
      <c r="I68" s="11" t="str">
        <f>"Tháng"&amp;" "&amp;MONTH(Du_Lieu[[#This Row],[Date]])</f>
        <v>Tháng 5</v>
      </c>
      <c r="J68" s="12">
        <f t="shared" si="3"/>
        <v>490.753424657534</v>
      </c>
      <c r="K68" s="12" t="str">
        <f t="shared" si="4"/>
        <v>OTHER</v>
      </c>
      <c r="L68" s="13">
        <f t="shared" si="5"/>
        <v>0.333333333333333</v>
      </c>
      <c r="M68" s="15"/>
      <c r="N68" s="7">
        <f>COUNTIF(F:F,Du_Lieu[[#This Row],[Invoice]])</f>
        <v>1</v>
      </c>
    </row>
    <row r="69" spans="1:14">
      <c r="A69" s="10">
        <v>44340</v>
      </c>
      <c r="B69" s="7" t="s">
        <v>13</v>
      </c>
      <c r="C69" s="7" t="s">
        <v>59</v>
      </c>
      <c r="D69" s="7" t="s">
        <v>204</v>
      </c>
      <c r="E69" s="7" t="s">
        <v>205</v>
      </c>
      <c r="F69" s="7" t="s">
        <v>206</v>
      </c>
      <c r="G69" s="11">
        <v>1</v>
      </c>
      <c r="H69" s="11">
        <v>126367000</v>
      </c>
      <c r="I69" s="11" t="str">
        <f>"Tháng"&amp;" "&amp;MONTH(Du_Lieu[[#This Row],[Date]])</f>
        <v>Tháng 5</v>
      </c>
      <c r="J69" s="12">
        <f t="shared" si="3"/>
        <v>5409.54623287671</v>
      </c>
      <c r="K69" s="12" t="str">
        <f t="shared" si="4"/>
        <v>CLIENTELING OR CT</v>
      </c>
      <c r="L69" s="13">
        <f t="shared" si="5"/>
        <v>0.5</v>
      </c>
      <c r="M69" s="15"/>
      <c r="N69" s="7">
        <f>COUNTIF(F:F,Du_Lieu[[#This Row],[Invoice]])</f>
        <v>2</v>
      </c>
    </row>
    <row r="70" spans="1:14">
      <c r="A70" s="10">
        <v>44340</v>
      </c>
      <c r="B70" s="7" t="s">
        <v>13</v>
      </c>
      <c r="C70" s="7" t="s">
        <v>59</v>
      </c>
      <c r="D70" s="7" t="s">
        <v>207</v>
      </c>
      <c r="E70" s="7" t="s">
        <v>205</v>
      </c>
      <c r="F70" s="7" t="s">
        <v>206</v>
      </c>
      <c r="G70" s="11">
        <v>1</v>
      </c>
      <c r="H70" s="11">
        <v>31592000</v>
      </c>
      <c r="I70" s="11" t="str">
        <f>"Tháng"&amp;" "&amp;MONTH(Du_Lieu[[#This Row],[Date]])</f>
        <v>Tháng 5</v>
      </c>
      <c r="J70" s="12">
        <f t="shared" si="3"/>
        <v>1352.39726027397</v>
      </c>
      <c r="K70" s="12" t="str">
        <f t="shared" si="4"/>
        <v>OTHER</v>
      </c>
      <c r="L70" s="13">
        <f t="shared" si="5"/>
        <v>0.5</v>
      </c>
      <c r="M70" s="15"/>
      <c r="N70" s="7">
        <f>COUNTIF(F:F,Du_Lieu[[#This Row],[Invoice]])</f>
        <v>2</v>
      </c>
    </row>
    <row r="71" spans="1:14">
      <c r="A71" s="10">
        <v>44340</v>
      </c>
      <c r="B71" s="7" t="s">
        <v>13</v>
      </c>
      <c r="C71" s="7" t="s">
        <v>59</v>
      </c>
      <c r="D71" s="7" t="s">
        <v>208</v>
      </c>
      <c r="E71" s="7" t="s">
        <v>209</v>
      </c>
      <c r="F71" s="7" t="s">
        <v>210</v>
      </c>
      <c r="G71" s="11">
        <v>1</v>
      </c>
      <c r="H71" s="11">
        <v>19858000</v>
      </c>
      <c r="I71" s="11" t="str">
        <f>"Tháng"&amp;" "&amp;MONTH(Du_Lieu[[#This Row],[Date]])</f>
        <v>Tháng 5</v>
      </c>
      <c r="J71" s="12">
        <f t="shared" si="3"/>
        <v>850.085616438356</v>
      </c>
      <c r="K71" s="12" t="str">
        <f t="shared" si="4"/>
        <v>OTHER</v>
      </c>
      <c r="L71" s="13">
        <f t="shared" si="5"/>
        <v>1</v>
      </c>
      <c r="M71" s="15"/>
      <c r="N71" s="7">
        <f>COUNTIF(F:F,Du_Lieu[[#This Row],[Invoice]])</f>
        <v>1</v>
      </c>
    </row>
    <row r="72" spans="1:14">
      <c r="A72" s="10">
        <v>44341</v>
      </c>
      <c r="B72" s="7" t="s">
        <v>13</v>
      </c>
      <c r="C72" s="7" t="s">
        <v>59</v>
      </c>
      <c r="D72" s="7" t="s">
        <v>211</v>
      </c>
      <c r="E72" s="7" t="s">
        <v>212</v>
      </c>
      <c r="F72" s="7" t="s">
        <v>213</v>
      </c>
      <c r="G72" s="11">
        <v>1</v>
      </c>
      <c r="H72" s="11">
        <v>109217000</v>
      </c>
      <c r="I72" s="11" t="str">
        <f>"Tháng"&amp;" "&amp;MONTH(Du_Lieu[[#This Row],[Date]])</f>
        <v>Tháng 5</v>
      </c>
      <c r="J72" s="12">
        <f t="shared" si="3"/>
        <v>4675.3852739726</v>
      </c>
      <c r="K72" s="12" t="str">
        <f t="shared" si="4"/>
        <v>CLIENTELING OR CT</v>
      </c>
      <c r="L72" s="13">
        <f t="shared" si="5"/>
        <v>0.2</v>
      </c>
      <c r="M72" s="15"/>
      <c r="N72" s="7">
        <f>COUNTIF(F:F,Du_Lieu[[#This Row],[Invoice]])</f>
        <v>2</v>
      </c>
    </row>
    <row r="73" spans="1:14">
      <c r="A73" s="10">
        <v>44341</v>
      </c>
      <c r="B73" s="7" t="s">
        <v>13</v>
      </c>
      <c r="C73" s="7" t="s">
        <v>59</v>
      </c>
      <c r="D73" s="7" t="s">
        <v>214</v>
      </c>
      <c r="E73" s="7" t="s">
        <v>212</v>
      </c>
      <c r="F73" s="7" t="s">
        <v>213</v>
      </c>
      <c r="G73" s="11">
        <v>1</v>
      </c>
      <c r="H73" s="11">
        <v>43326000</v>
      </c>
      <c r="I73" s="11" t="str">
        <f>"Tháng"&amp;" "&amp;MONTH(Du_Lieu[[#This Row],[Date]])</f>
        <v>Tháng 5</v>
      </c>
      <c r="J73" s="12">
        <f t="shared" si="3"/>
        <v>1854.70890410959</v>
      </c>
      <c r="K73" s="12" t="str">
        <f t="shared" si="4"/>
        <v>OTHER</v>
      </c>
      <c r="L73" s="13">
        <f t="shared" si="5"/>
        <v>0.2</v>
      </c>
      <c r="M73" s="15"/>
      <c r="N73" s="7">
        <f>COUNTIF(F:F,Du_Lieu[[#This Row],[Invoice]])</f>
        <v>2</v>
      </c>
    </row>
    <row r="74" spans="1:14">
      <c r="A74" s="10">
        <v>44342</v>
      </c>
      <c r="B74" s="7" t="s">
        <v>215</v>
      </c>
      <c r="C74" s="7" t="s">
        <v>59</v>
      </c>
      <c r="D74" s="7" t="s">
        <v>216</v>
      </c>
      <c r="E74" s="7" t="s">
        <v>217</v>
      </c>
      <c r="F74" s="7" t="s">
        <v>218</v>
      </c>
      <c r="G74" s="11">
        <v>1</v>
      </c>
      <c r="H74" s="11">
        <v>26176000</v>
      </c>
      <c r="I74" s="11" t="str">
        <f>"Tháng"&amp;" "&amp;MONTH(Du_Lieu[[#This Row],[Date]])</f>
        <v>Tháng 5</v>
      </c>
      <c r="J74" s="12">
        <f t="shared" si="3"/>
        <v>1120.54794520548</v>
      </c>
      <c r="K74" s="12" t="str">
        <f t="shared" si="4"/>
        <v>OTHER</v>
      </c>
      <c r="L74" s="13">
        <f t="shared" si="5"/>
        <v>0.5</v>
      </c>
      <c r="M74" s="15"/>
      <c r="N74" s="7">
        <f>COUNTIF(F:F,Du_Lieu[[#This Row],[Invoice]])</f>
        <v>2</v>
      </c>
    </row>
    <row r="75" spans="1:14">
      <c r="A75" s="10">
        <v>44342</v>
      </c>
      <c r="B75" s="7" t="s">
        <v>215</v>
      </c>
      <c r="C75" s="7" t="s">
        <v>59</v>
      </c>
      <c r="D75" s="7" t="s">
        <v>219</v>
      </c>
      <c r="E75" s="7" t="s">
        <v>217</v>
      </c>
      <c r="F75" s="7" t="s">
        <v>218</v>
      </c>
      <c r="G75" s="11">
        <v>1</v>
      </c>
      <c r="H75" s="11">
        <v>68599000</v>
      </c>
      <c r="I75" s="11" t="str">
        <f>"Tháng"&amp;" "&amp;MONTH(Du_Lieu[[#This Row],[Date]])</f>
        <v>Tháng 5</v>
      </c>
      <c r="J75" s="12">
        <f t="shared" si="3"/>
        <v>2936.60102739726</v>
      </c>
      <c r="K75" s="12" t="str">
        <f t="shared" si="4"/>
        <v>OTHER</v>
      </c>
      <c r="L75" s="13">
        <f t="shared" si="5"/>
        <v>0.5</v>
      </c>
      <c r="M75" s="15"/>
      <c r="N75" s="7">
        <f>COUNTIF(F:F,Du_Lieu[[#This Row],[Invoice]])</f>
        <v>2</v>
      </c>
    </row>
    <row r="76" spans="1:14">
      <c r="A76" s="10">
        <v>44343</v>
      </c>
      <c r="B76" s="7" t="s">
        <v>13</v>
      </c>
      <c r="C76" s="7" t="s">
        <v>59</v>
      </c>
      <c r="D76" s="7" t="s">
        <v>220</v>
      </c>
      <c r="E76" s="7" t="s">
        <v>221</v>
      </c>
      <c r="F76" s="7" t="s">
        <v>222</v>
      </c>
      <c r="G76" s="11">
        <v>1</v>
      </c>
      <c r="H76" s="11">
        <v>617390000</v>
      </c>
      <c r="I76" s="11" t="str">
        <f>"Tháng"&amp;" "&amp;MONTH(Du_Lieu[[#This Row],[Date]])</f>
        <v>Tháng 5</v>
      </c>
      <c r="J76" s="12">
        <f t="shared" si="3"/>
        <v>26429.3664383562</v>
      </c>
      <c r="K76" s="12" t="str">
        <f t="shared" si="4"/>
        <v>GOLD</v>
      </c>
      <c r="L76" s="13">
        <f t="shared" si="5"/>
        <v>1</v>
      </c>
      <c r="M76" s="15"/>
      <c r="N76" s="7">
        <f>COUNTIF(F:F,Du_Lieu[[#This Row],[Invoice]])</f>
        <v>1</v>
      </c>
    </row>
    <row r="77" spans="1:14">
      <c r="A77" s="10">
        <v>44343</v>
      </c>
      <c r="B77" s="7" t="s">
        <v>13</v>
      </c>
      <c r="C77" s="7" t="s">
        <v>59</v>
      </c>
      <c r="D77" s="7" t="s">
        <v>165</v>
      </c>
      <c r="E77" s="7" t="s">
        <v>223</v>
      </c>
      <c r="F77" s="7" t="s">
        <v>224</v>
      </c>
      <c r="G77" s="11">
        <v>1</v>
      </c>
      <c r="H77" s="11">
        <v>8666000</v>
      </c>
      <c r="I77" s="11" t="str">
        <f>"Tháng"&amp;" "&amp;MONTH(Du_Lieu[[#This Row],[Date]])</f>
        <v>Tháng 5</v>
      </c>
      <c r="J77" s="12">
        <f t="shared" si="3"/>
        <v>370.97602739726</v>
      </c>
      <c r="K77" s="12" t="str">
        <f t="shared" si="4"/>
        <v>OTHER</v>
      </c>
      <c r="L77" s="13">
        <f t="shared" si="5"/>
        <v>0.5</v>
      </c>
      <c r="M77" s="15"/>
      <c r="N77" s="7">
        <f>COUNTIF(F:F,Du_Lieu[[#This Row],[Invoice]])</f>
        <v>2</v>
      </c>
    </row>
    <row r="78" spans="1:14">
      <c r="A78" s="10">
        <v>44343</v>
      </c>
      <c r="B78" s="7" t="s">
        <v>13</v>
      </c>
      <c r="C78" s="7" t="s">
        <v>59</v>
      </c>
      <c r="D78" s="7" t="s">
        <v>225</v>
      </c>
      <c r="E78" s="7" t="s">
        <v>223</v>
      </c>
      <c r="F78" s="7" t="s">
        <v>224</v>
      </c>
      <c r="G78" s="11">
        <v>1</v>
      </c>
      <c r="H78" s="11">
        <v>145322000</v>
      </c>
      <c r="I78" s="11" t="str">
        <f>"Tháng"&amp;" "&amp;MONTH(Du_Lieu[[#This Row],[Date]])</f>
        <v>Tháng 5</v>
      </c>
      <c r="J78" s="12">
        <f t="shared" si="3"/>
        <v>6220.97602739726</v>
      </c>
      <c r="K78" s="12" t="str">
        <f t="shared" si="4"/>
        <v>CLIENTELING OR CT</v>
      </c>
      <c r="L78" s="13">
        <f t="shared" si="5"/>
        <v>0.5</v>
      </c>
      <c r="M78" s="15"/>
      <c r="N78" s="7">
        <f>COUNTIF(F:F,Du_Lieu[[#This Row],[Invoice]])</f>
        <v>2</v>
      </c>
    </row>
    <row r="79" spans="1:14">
      <c r="A79" s="10">
        <v>44343</v>
      </c>
      <c r="B79" s="7" t="s">
        <v>13</v>
      </c>
      <c r="C79" s="7" t="s">
        <v>59</v>
      </c>
      <c r="D79" s="7" t="s">
        <v>226</v>
      </c>
      <c r="E79" s="7" t="s">
        <v>227</v>
      </c>
      <c r="F79" s="7" t="s">
        <v>228</v>
      </c>
      <c r="G79" s="11">
        <v>1</v>
      </c>
      <c r="H79" s="11">
        <v>48742000</v>
      </c>
      <c r="I79" s="11" t="str">
        <f>"Tháng"&amp;" "&amp;MONTH(Du_Lieu[[#This Row],[Date]])</f>
        <v>Tháng 5</v>
      </c>
      <c r="J79" s="12">
        <f t="shared" si="3"/>
        <v>2086.55821917808</v>
      </c>
      <c r="K79" s="12" t="str">
        <f t="shared" si="4"/>
        <v>OTHER</v>
      </c>
      <c r="L79" s="13">
        <f t="shared" si="5"/>
        <v>0.333333333333333</v>
      </c>
      <c r="M79" s="15"/>
      <c r="N79" s="7">
        <f>COUNTIF(F:F,Du_Lieu[[#This Row],[Invoice]])</f>
        <v>1</v>
      </c>
    </row>
    <row r="80" spans="1:14">
      <c r="A80" s="10">
        <v>44343</v>
      </c>
      <c r="B80" s="7" t="s">
        <v>13</v>
      </c>
      <c r="C80" s="7" t="s">
        <v>59</v>
      </c>
      <c r="D80" s="7" t="s">
        <v>229</v>
      </c>
      <c r="E80" s="7" t="s">
        <v>227</v>
      </c>
      <c r="F80" s="7" t="s">
        <v>230</v>
      </c>
      <c r="G80" s="11">
        <v>1</v>
      </c>
      <c r="H80" s="11">
        <v>285227000</v>
      </c>
      <c r="I80" s="11" t="str">
        <f>"Tháng"&amp;" "&amp;MONTH(Du_Lieu[[#This Row],[Date]])</f>
        <v>Tháng 5</v>
      </c>
      <c r="J80" s="12">
        <f t="shared" si="3"/>
        <v>12210.0599315068</v>
      </c>
      <c r="K80" s="12" t="str">
        <f t="shared" si="4"/>
        <v>SILVER</v>
      </c>
      <c r="L80" s="13">
        <f t="shared" si="5"/>
        <v>0.333333333333333</v>
      </c>
      <c r="M80" s="15"/>
      <c r="N80" s="7">
        <f>COUNTIF(F:F,Du_Lieu[[#This Row],[Invoice]])</f>
        <v>1</v>
      </c>
    </row>
    <row r="81" spans="1:14">
      <c r="A81" s="10">
        <v>44343</v>
      </c>
      <c r="B81" s="7" t="s">
        <v>13</v>
      </c>
      <c r="C81" s="7" t="s">
        <v>59</v>
      </c>
      <c r="D81" s="7" t="s">
        <v>231</v>
      </c>
      <c r="E81" s="7" t="s">
        <v>227</v>
      </c>
      <c r="F81" s="7" t="s">
        <v>232</v>
      </c>
      <c r="G81" s="11">
        <v>1</v>
      </c>
      <c r="H81" s="11">
        <v>64989000</v>
      </c>
      <c r="I81" s="11" t="str">
        <f>"Tháng"&amp;" "&amp;MONTH(Du_Lieu[[#This Row],[Date]])</f>
        <v>Tháng 5</v>
      </c>
      <c r="J81" s="12">
        <f t="shared" si="3"/>
        <v>2782.06335616438</v>
      </c>
      <c r="K81" s="12" t="str">
        <f t="shared" si="4"/>
        <v>OTHER</v>
      </c>
      <c r="L81" s="13">
        <f t="shared" si="5"/>
        <v>0.333333333333333</v>
      </c>
      <c r="M81" s="15"/>
      <c r="N81" s="7">
        <f>COUNTIF(F:F,Du_Lieu[[#This Row],[Invoice]])</f>
        <v>1</v>
      </c>
    </row>
    <row r="82" spans="1:14">
      <c r="A82" s="10">
        <v>44344</v>
      </c>
      <c r="B82" s="7" t="s">
        <v>13</v>
      </c>
      <c r="C82" s="7" t="s">
        <v>59</v>
      </c>
      <c r="D82" s="7" t="s">
        <v>233</v>
      </c>
      <c r="E82" s="7" t="s">
        <v>234</v>
      </c>
      <c r="F82" s="7" t="s">
        <v>235</v>
      </c>
      <c r="G82" s="11">
        <v>1</v>
      </c>
      <c r="H82" s="11">
        <v>64989000</v>
      </c>
      <c r="I82" s="11" t="str">
        <f>"Tháng"&amp;" "&amp;MONTH(Du_Lieu[[#This Row],[Date]])</f>
        <v>Tháng 5</v>
      </c>
      <c r="J82" s="12">
        <f t="shared" si="3"/>
        <v>2782.06335616438</v>
      </c>
      <c r="K82" s="12" t="str">
        <f t="shared" si="4"/>
        <v>OTHER</v>
      </c>
      <c r="L82" s="13">
        <f t="shared" si="5"/>
        <v>1</v>
      </c>
      <c r="M82" s="15"/>
      <c r="N82" s="7">
        <f>COUNTIF(F:F,Du_Lieu[[#This Row],[Invoice]])</f>
        <v>1</v>
      </c>
    </row>
    <row r="83" spans="1:14">
      <c r="A83" s="10">
        <v>44344</v>
      </c>
      <c r="B83" s="7" t="s">
        <v>13</v>
      </c>
      <c r="C83" s="7" t="s">
        <v>59</v>
      </c>
      <c r="D83" s="7" t="s">
        <v>236</v>
      </c>
      <c r="E83" s="7" t="s">
        <v>237</v>
      </c>
      <c r="F83" s="7" t="s">
        <v>238</v>
      </c>
      <c r="G83" s="11">
        <v>1</v>
      </c>
      <c r="H83" s="11">
        <v>328553000</v>
      </c>
      <c r="I83" s="11" t="str">
        <f>"Tháng"&amp;" "&amp;MONTH(Du_Lieu[[#This Row],[Date]])</f>
        <v>Tháng 5</v>
      </c>
      <c r="J83" s="12">
        <f t="shared" si="3"/>
        <v>14064.7688356164</v>
      </c>
      <c r="K83" s="12" t="str">
        <f t="shared" si="4"/>
        <v>SILVER</v>
      </c>
      <c r="L83" s="13">
        <f t="shared" si="5"/>
        <v>1</v>
      </c>
      <c r="M83" s="15"/>
      <c r="N83" s="7">
        <f>COUNTIF(F:F,Du_Lieu[[#This Row],[Invoice]])</f>
        <v>1</v>
      </c>
    </row>
    <row r="84" spans="1:14">
      <c r="A84" s="10">
        <v>44344</v>
      </c>
      <c r="B84" s="7" t="s">
        <v>13</v>
      </c>
      <c r="C84" s="7" t="s">
        <v>59</v>
      </c>
      <c r="D84" s="7" t="s">
        <v>239</v>
      </c>
      <c r="E84" s="7" t="s">
        <v>240</v>
      </c>
      <c r="F84" s="7" t="s">
        <v>241</v>
      </c>
      <c r="G84" s="11">
        <v>1</v>
      </c>
      <c r="H84" s="11">
        <v>19858000</v>
      </c>
      <c r="I84" s="11" t="str">
        <f>"Tháng"&amp;" "&amp;MONTH(Du_Lieu[[#This Row],[Date]])</f>
        <v>Tháng 5</v>
      </c>
      <c r="J84" s="12">
        <f t="shared" si="3"/>
        <v>850.085616438356</v>
      </c>
      <c r="K84" s="12" t="str">
        <f t="shared" si="4"/>
        <v>OTHER</v>
      </c>
      <c r="L84" s="13">
        <f t="shared" si="5"/>
        <v>0.333333333333333</v>
      </c>
      <c r="M84" s="15"/>
      <c r="N84" s="7">
        <f>COUNTIF(F:F,Du_Lieu[[#This Row],[Invoice]])</f>
        <v>3</v>
      </c>
    </row>
    <row r="85" spans="1:14">
      <c r="A85" s="10">
        <v>44344</v>
      </c>
      <c r="B85" s="7" t="s">
        <v>13</v>
      </c>
      <c r="C85" s="7" t="s">
        <v>59</v>
      </c>
      <c r="D85" s="7" t="s">
        <v>165</v>
      </c>
      <c r="E85" s="7" t="s">
        <v>240</v>
      </c>
      <c r="F85" s="7" t="s">
        <v>241</v>
      </c>
      <c r="G85" s="11">
        <v>1</v>
      </c>
      <c r="H85" s="11">
        <v>8666000</v>
      </c>
      <c r="I85" s="11" t="str">
        <f>"Tháng"&amp;" "&amp;MONTH(Du_Lieu[[#This Row],[Date]])</f>
        <v>Tháng 5</v>
      </c>
      <c r="J85" s="12">
        <f t="shared" si="3"/>
        <v>370.97602739726</v>
      </c>
      <c r="K85" s="12" t="str">
        <f t="shared" si="4"/>
        <v>OTHER</v>
      </c>
      <c r="L85" s="13">
        <f t="shared" si="5"/>
        <v>0.333333333333333</v>
      </c>
      <c r="M85" s="15"/>
      <c r="N85" s="7">
        <f>COUNTIF(F:F,Du_Lieu[[#This Row],[Invoice]])</f>
        <v>3</v>
      </c>
    </row>
    <row r="86" spans="1:14">
      <c r="A86" s="10">
        <v>44344</v>
      </c>
      <c r="B86" s="7" t="s">
        <v>13</v>
      </c>
      <c r="C86" s="7" t="s">
        <v>59</v>
      </c>
      <c r="D86" s="7" t="s">
        <v>242</v>
      </c>
      <c r="E86" s="7" t="s">
        <v>240</v>
      </c>
      <c r="F86" s="7" t="s">
        <v>241</v>
      </c>
      <c r="G86" s="11">
        <v>1</v>
      </c>
      <c r="H86" s="11">
        <v>24371000</v>
      </c>
      <c r="I86" s="11" t="str">
        <f>"Tháng"&amp;" "&amp;MONTH(Du_Lieu[[#This Row],[Date]])</f>
        <v>Tháng 5</v>
      </c>
      <c r="J86" s="12">
        <f t="shared" si="3"/>
        <v>1043.27910958904</v>
      </c>
      <c r="K86" s="12" t="str">
        <f t="shared" si="4"/>
        <v>OTHER</v>
      </c>
      <c r="L86" s="13">
        <f t="shared" si="5"/>
        <v>0.333333333333333</v>
      </c>
      <c r="M86" s="15"/>
      <c r="N86" s="7">
        <f>COUNTIF(F:F,Du_Lieu[[#This Row],[Invoice]])</f>
        <v>3</v>
      </c>
    </row>
    <row r="87" spans="1:14">
      <c r="A87" s="10">
        <v>44345</v>
      </c>
      <c r="B87" s="7" t="s">
        <v>44</v>
      </c>
      <c r="C87" s="7" t="s">
        <v>59</v>
      </c>
      <c r="D87" s="7" t="s">
        <v>243</v>
      </c>
      <c r="E87" s="7" t="s">
        <v>244</v>
      </c>
      <c r="F87" s="7" t="s">
        <v>245</v>
      </c>
      <c r="G87" s="11">
        <v>1</v>
      </c>
      <c r="H87" s="11">
        <v>26176000</v>
      </c>
      <c r="I87" s="11" t="str">
        <f>"Tháng"&amp;" "&amp;MONTH(Du_Lieu[[#This Row],[Date]])</f>
        <v>Tháng 5</v>
      </c>
      <c r="J87" s="12">
        <f t="shared" si="3"/>
        <v>1120.54794520548</v>
      </c>
      <c r="K87" s="12" t="str">
        <f t="shared" si="4"/>
        <v>OTHER</v>
      </c>
      <c r="L87" s="13">
        <f t="shared" si="5"/>
        <v>1</v>
      </c>
      <c r="M87" s="15"/>
      <c r="N87" s="7">
        <f>COUNTIF(F:F,Du_Lieu[[#This Row],[Invoice]])</f>
        <v>1</v>
      </c>
    </row>
    <row r="88" spans="1:14">
      <c r="A88" s="10">
        <v>44345</v>
      </c>
      <c r="B88" s="7" t="s">
        <v>13</v>
      </c>
      <c r="C88" s="7" t="s">
        <v>59</v>
      </c>
      <c r="D88" s="7" t="s">
        <v>246</v>
      </c>
      <c r="E88" s="7" t="s">
        <v>247</v>
      </c>
      <c r="F88" s="7" t="s">
        <v>248</v>
      </c>
      <c r="G88" s="11">
        <v>1</v>
      </c>
      <c r="H88" s="11">
        <v>60476000</v>
      </c>
      <c r="I88" s="11" t="str">
        <f>"Tháng"&amp;" "&amp;MONTH(Du_Lieu[[#This Row],[Date]])</f>
        <v>Tháng 5</v>
      </c>
      <c r="J88" s="12">
        <f t="shared" si="3"/>
        <v>2588.8698630137</v>
      </c>
      <c r="K88" s="12" t="str">
        <f t="shared" si="4"/>
        <v>OTHER</v>
      </c>
      <c r="L88" s="13">
        <f t="shared" si="5"/>
        <v>0.333333333333333</v>
      </c>
      <c r="M88" s="15"/>
      <c r="N88" s="7">
        <f>COUNTIF(F:F,Du_Lieu[[#This Row],[Invoice]])</f>
        <v>3</v>
      </c>
    </row>
    <row r="89" spans="1:14">
      <c r="A89" s="10">
        <v>44345</v>
      </c>
      <c r="B89" s="7" t="s">
        <v>13</v>
      </c>
      <c r="C89" s="7" t="s">
        <v>59</v>
      </c>
      <c r="D89" s="7" t="s">
        <v>249</v>
      </c>
      <c r="E89" s="7" t="s">
        <v>247</v>
      </c>
      <c r="F89" s="7" t="s">
        <v>248</v>
      </c>
      <c r="G89" s="11">
        <v>1</v>
      </c>
      <c r="H89" s="11">
        <v>46034000</v>
      </c>
      <c r="I89" s="11" t="str">
        <f>"Tháng"&amp;" "&amp;MONTH(Du_Lieu[[#This Row],[Date]])</f>
        <v>Tháng 5</v>
      </c>
      <c r="J89" s="12">
        <f t="shared" si="3"/>
        <v>1970.63356164384</v>
      </c>
      <c r="K89" s="12" t="str">
        <f t="shared" si="4"/>
        <v>OTHER</v>
      </c>
      <c r="L89" s="13">
        <f t="shared" si="5"/>
        <v>0.333333333333333</v>
      </c>
      <c r="M89" s="15"/>
      <c r="N89" s="7">
        <f>COUNTIF(F:F,Du_Lieu[[#This Row],[Invoice]])</f>
        <v>3</v>
      </c>
    </row>
    <row r="90" spans="1:14">
      <c r="A90" s="10">
        <v>44345</v>
      </c>
      <c r="B90" s="7" t="s">
        <v>13</v>
      </c>
      <c r="C90" s="7" t="s">
        <v>59</v>
      </c>
      <c r="D90" s="7" t="s">
        <v>250</v>
      </c>
      <c r="E90" s="7" t="s">
        <v>247</v>
      </c>
      <c r="F90" s="7" t="s">
        <v>248</v>
      </c>
      <c r="G90" s="11">
        <v>1</v>
      </c>
      <c r="H90" s="11">
        <v>79431000</v>
      </c>
      <c r="I90" s="11" t="str">
        <f>"Tháng"&amp;" "&amp;MONTH(Du_Lieu[[#This Row],[Date]])</f>
        <v>Tháng 5</v>
      </c>
      <c r="J90" s="12">
        <f t="shared" si="3"/>
        <v>3400.29965753425</v>
      </c>
      <c r="K90" s="12" t="str">
        <f t="shared" si="4"/>
        <v>CLIENTELING OR CT</v>
      </c>
      <c r="L90" s="13">
        <f t="shared" si="5"/>
        <v>0.333333333333333</v>
      </c>
      <c r="M90" s="15"/>
      <c r="N90" s="7">
        <f>COUNTIF(F:F,Du_Lieu[[#This Row],[Invoice]])</f>
        <v>3</v>
      </c>
    </row>
    <row r="91" spans="1:14">
      <c r="A91" s="10">
        <v>44346</v>
      </c>
      <c r="B91" s="7" t="s">
        <v>44</v>
      </c>
      <c r="C91" s="7" t="s">
        <v>59</v>
      </c>
      <c r="D91" s="7" t="s">
        <v>251</v>
      </c>
      <c r="E91" s="7" t="s">
        <v>252</v>
      </c>
      <c r="F91" s="7" t="s">
        <v>253</v>
      </c>
      <c r="G91" s="11">
        <v>1</v>
      </c>
      <c r="H91" s="11">
        <v>6680000</v>
      </c>
      <c r="I91" s="11" t="str">
        <f>"Tháng"&amp;" "&amp;MONTH(Du_Lieu[[#This Row],[Date]])</f>
        <v>Tháng 5</v>
      </c>
      <c r="J91" s="12">
        <f t="shared" si="3"/>
        <v>285.958904109589</v>
      </c>
      <c r="K91" s="12" t="str">
        <f t="shared" si="4"/>
        <v>OTHER</v>
      </c>
      <c r="L91" s="13">
        <f t="shared" si="5"/>
        <v>1</v>
      </c>
      <c r="M91" s="15"/>
      <c r="N91" s="7">
        <f>COUNTIF(F:F,Du_Lieu[[#This Row],[Invoice]])</f>
        <v>1</v>
      </c>
    </row>
    <row r="92" spans="1:14">
      <c r="A92" s="10">
        <v>44346</v>
      </c>
      <c r="B92" s="7" t="s">
        <v>44</v>
      </c>
      <c r="C92" s="7" t="s">
        <v>59</v>
      </c>
      <c r="D92" s="7" t="s">
        <v>254</v>
      </c>
      <c r="E92" s="7" t="s">
        <v>255</v>
      </c>
      <c r="F92" s="7" t="s">
        <v>256</v>
      </c>
      <c r="G92" s="11">
        <v>1</v>
      </c>
      <c r="H92" s="11">
        <v>7402000</v>
      </c>
      <c r="I92" s="11" t="str">
        <f>"Tháng"&amp;" "&amp;MONTH(Du_Lieu[[#This Row],[Date]])</f>
        <v>Tháng 5</v>
      </c>
      <c r="J92" s="12">
        <f t="shared" si="3"/>
        <v>316.866438356164</v>
      </c>
      <c r="K92" s="12" t="str">
        <f t="shared" si="4"/>
        <v>OTHER</v>
      </c>
      <c r="L92" s="13">
        <f t="shared" si="5"/>
        <v>0.5</v>
      </c>
      <c r="M92" s="15"/>
      <c r="N92" s="7">
        <f>COUNTIF(F:F,Du_Lieu[[#This Row],[Invoice]])</f>
        <v>2</v>
      </c>
    </row>
    <row r="93" spans="1:14">
      <c r="A93" s="10">
        <v>44346</v>
      </c>
      <c r="B93" s="7" t="s">
        <v>44</v>
      </c>
      <c r="C93" s="7" t="s">
        <v>59</v>
      </c>
      <c r="D93" s="7" t="s">
        <v>257</v>
      </c>
      <c r="E93" s="7" t="s">
        <v>255</v>
      </c>
      <c r="F93" s="7" t="s">
        <v>256</v>
      </c>
      <c r="G93" s="11">
        <v>1</v>
      </c>
      <c r="H93" s="11">
        <v>7402000</v>
      </c>
      <c r="I93" s="11" t="str">
        <f>"Tháng"&amp;" "&amp;MONTH(Du_Lieu[[#This Row],[Date]])</f>
        <v>Tháng 5</v>
      </c>
      <c r="J93" s="12">
        <f t="shared" si="3"/>
        <v>316.866438356164</v>
      </c>
      <c r="K93" s="12" t="str">
        <f t="shared" si="4"/>
        <v>OTHER</v>
      </c>
      <c r="L93" s="13">
        <f t="shared" si="5"/>
        <v>0.5</v>
      </c>
      <c r="M93" s="15"/>
      <c r="N93" s="7">
        <f>COUNTIF(F:F,Du_Lieu[[#This Row],[Invoice]])</f>
        <v>2</v>
      </c>
    </row>
    <row r="94" spans="1:14">
      <c r="A94" s="10">
        <v>44346</v>
      </c>
      <c r="B94" s="7" t="s">
        <v>44</v>
      </c>
      <c r="C94" s="7" t="s">
        <v>59</v>
      </c>
      <c r="D94" s="7" t="s">
        <v>81</v>
      </c>
      <c r="E94" s="7" t="s">
        <v>258</v>
      </c>
      <c r="F94" s="7" t="s">
        <v>259</v>
      </c>
      <c r="G94" s="11">
        <v>1</v>
      </c>
      <c r="H94" s="11">
        <v>6229000</v>
      </c>
      <c r="I94" s="11" t="str">
        <f>"Tháng"&amp;" "&amp;MONTH(Du_Lieu[[#This Row],[Date]])</f>
        <v>Tháng 5</v>
      </c>
      <c r="J94" s="12">
        <f t="shared" si="3"/>
        <v>266.652397260274</v>
      </c>
      <c r="K94" s="12" t="str">
        <f t="shared" si="4"/>
        <v>OTHER</v>
      </c>
      <c r="L94" s="13">
        <f t="shared" si="5"/>
        <v>1</v>
      </c>
      <c r="M94" s="15"/>
      <c r="N94" s="7">
        <f>COUNTIF(F:F,Du_Lieu[[#This Row],[Invoice]])</f>
        <v>1</v>
      </c>
    </row>
    <row r="95" spans="1:14">
      <c r="A95" s="10">
        <v>44346</v>
      </c>
      <c r="B95" s="7" t="s">
        <v>44</v>
      </c>
      <c r="C95" s="7" t="s">
        <v>59</v>
      </c>
      <c r="D95" s="7" t="s">
        <v>260</v>
      </c>
      <c r="E95" s="7" t="s">
        <v>261</v>
      </c>
      <c r="F95" s="7" t="s">
        <v>262</v>
      </c>
      <c r="G95" s="11">
        <v>1</v>
      </c>
      <c r="H95" s="11">
        <v>55060000</v>
      </c>
      <c r="I95" s="11" t="str">
        <f>"Tháng"&amp;" "&amp;MONTH(Du_Lieu[[#This Row],[Date]])</f>
        <v>Tháng 5</v>
      </c>
      <c r="J95" s="12">
        <f t="shared" si="3"/>
        <v>2357.02054794521</v>
      </c>
      <c r="K95" s="12" t="str">
        <f t="shared" si="4"/>
        <v>OTHER</v>
      </c>
      <c r="L95" s="13">
        <f t="shared" si="5"/>
        <v>1</v>
      </c>
      <c r="M95" s="15"/>
      <c r="N95" s="7">
        <f>COUNTIF(F:F,Du_Lieu[[#This Row],[Invoice]])</f>
        <v>1</v>
      </c>
    </row>
    <row r="96" spans="1:14">
      <c r="A96" s="10">
        <v>44348</v>
      </c>
      <c r="B96" s="7" t="s">
        <v>263</v>
      </c>
      <c r="C96" s="7" t="s">
        <v>59</v>
      </c>
      <c r="D96" s="7" t="s">
        <v>264</v>
      </c>
      <c r="E96" s="7" t="s">
        <v>265</v>
      </c>
      <c r="F96" s="7" t="s">
        <v>266</v>
      </c>
      <c r="G96" s="11">
        <v>1</v>
      </c>
      <c r="H96" s="11">
        <v>37008000</v>
      </c>
      <c r="I96" s="11" t="str">
        <f>"Tháng"&amp;" "&amp;MONTH(Du_Lieu[[#This Row],[Date]])</f>
        <v>Tháng 6</v>
      </c>
      <c r="J96" s="12">
        <f t="shared" si="3"/>
        <v>1584.24657534247</v>
      </c>
      <c r="K96" s="12" t="str">
        <f t="shared" si="4"/>
        <v>OTHER</v>
      </c>
      <c r="L96" s="13">
        <f t="shared" si="5"/>
        <v>0.5</v>
      </c>
      <c r="M96" s="15"/>
      <c r="N96" s="7">
        <f>COUNTIF(F:F,Du_Lieu[[#This Row],[Invoice]])</f>
        <v>2</v>
      </c>
    </row>
    <row r="97" spans="1:14">
      <c r="A97" s="10">
        <v>44348</v>
      </c>
      <c r="B97" s="7" t="s">
        <v>263</v>
      </c>
      <c r="C97" s="7" t="s">
        <v>59</v>
      </c>
      <c r="D97" s="7" t="s">
        <v>267</v>
      </c>
      <c r="E97" s="7" t="s">
        <v>265</v>
      </c>
      <c r="F97" s="7" t="s">
        <v>266</v>
      </c>
      <c r="G97" s="11">
        <v>1</v>
      </c>
      <c r="H97" s="11">
        <v>8666000</v>
      </c>
      <c r="I97" s="11" t="str">
        <f>"Tháng"&amp;" "&amp;MONTH(Du_Lieu[[#This Row],[Date]])</f>
        <v>Tháng 6</v>
      </c>
      <c r="J97" s="12">
        <f t="shared" si="3"/>
        <v>370.97602739726</v>
      </c>
      <c r="K97" s="12" t="str">
        <f t="shared" si="4"/>
        <v>OTHER</v>
      </c>
      <c r="L97" s="13">
        <f t="shared" si="5"/>
        <v>0.5</v>
      </c>
      <c r="M97" s="15"/>
      <c r="N97" s="7">
        <f>COUNTIF(F:F,Du_Lieu[[#This Row],[Invoice]])</f>
        <v>2</v>
      </c>
    </row>
    <row r="98" spans="1:14">
      <c r="A98" s="10">
        <v>44349</v>
      </c>
      <c r="B98" s="7" t="s">
        <v>13</v>
      </c>
      <c r="C98" s="7" t="s">
        <v>59</v>
      </c>
      <c r="D98" s="7" t="s">
        <v>268</v>
      </c>
      <c r="E98" s="7" t="s">
        <v>269</v>
      </c>
      <c r="F98" s="7" t="s">
        <v>270</v>
      </c>
      <c r="G98" s="11">
        <v>1</v>
      </c>
      <c r="H98" s="11">
        <v>92067000</v>
      </c>
      <c r="I98" s="11" t="str">
        <f>"Tháng"&amp;" "&amp;MONTH(Du_Lieu[[#This Row],[Date]])</f>
        <v>Tháng 6</v>
      </c>
      <c r="J98" s="12">
        <f t="shared" si="3"/>
        <v>3941.22431506849</v>
      </c>
      <c r="K98" s="12" t="str">
        <f t="shared" si="4"/>
        <v>CLIENTELING OR CT</v>
      </c>
      <c r="L98" s="13">
        <f t="shared" si="5"/>
        <v>1</v>
      </c>
      <c r="M98" s="15"/>
      <c r="N98" s="7">
        <f>COUNTIF(F:F,Du_Lieu[[#This Row],[Invoice]])</f>
        <v>1</v>
      </c>
    </row>
    <row r="99" spans="1:14">
      <c r="A99" s="10">
        <v>44352</v>
      </c>
      <c r="B99" s="7" t="s">
        <v>44</v>
      </c>
      <c r="C99" s="7" t="s">
        <v>59</v>
      </c>
      <c r="D99" s="7" t="s">
        <v>271</v>
      </c>
      <c r="E99" s="7" t="s">
        <v>272</v>
      </c>
      <c r="F99" s="7" t="s">
        <v>273</v>
      </c>
      <c r="G99" s="11">
        <v>1</v>
      </c>
      <c r="H99" s="11">
        <v>33397000</v>
      </c>
      <c r="I99" s="11" t="str">
        <f>"Tháng"&amp;" "&amp;MONTH(Du_Lieu[[#This Row],[Date]])</f>
        <v>Tháng 6</v>
      </c>
      <c r="J99" s="12">
        <f t="shared" si="3"/>
        <v>1429.66609589041</v>
      </c>
      <c r="K99" s="12" t="str">
        <f t="shared" si="4"/>
        <v>OTHER</v>
      </c>
      <c r="L99" s="13">
        <f t="shared" si="5"/>
        <v>0.5</v>
      </c>
      <c r="M99" s="15"/>
      <c r="N99" s="7">
        <f>COUNTIF(F:F,Du_Lieu[[#This Row],[Invoice]])</f>
        <v>2</v>
      </c>
    </row>
    <row r="100" spans="1:14">
      <c r="A100" s="10">
        <v>44352</v>
      </c>
      <c r="B100" s="7" t="s">
        <v>44</v>
      </c>
      <c r="C100" s="7" t="s">
        <v>59</v>
      </c>
      <c r="D100" s="7" t="s">
        <v>274</v>
      </c>
      <c r="E100" s="7" t="s">
        <v>272</v>
      </c>
      <c r="F100" s="7" t="s">
        <v>273</v>
      </c>
      <c r="G100" s="11">
        <v>1</v>
      </c>
      <c r="H100" s="11">
        <v>14081000</v>
      </c>
      <c r="I100" s="11" t="str">
        <f>"Tháng"&amp;" "&amp;MONTH(Du_Lieu[[#This Row],[Date]])</f>
        <v>Tháng 6</v>
      </c>
      <c r="J100" s="12">
        <f t="shared" si="3"/>
        <v>602.782534246575</v>
      </c>
      <c r="K100" s="12" t="str">
        <f t="shared" si="4"/>
        <v>OTHER</v>
      </c>
      <c r="L100" s="13">
        <f t="shared" si="5"/>
        <v>0.5</v>
      </c>
      <c r="M100" s="15"/>
      <c r="N100" s="7">
        <f>COUNTIF(F:F,Du_Lieu[[#This Row],[Invoice]])</f>
        <v>2</v>
      </c>
    </row>
    <row r="101" spans="1:14">
      <c r="A101" s="10">
        <v>44353</v>
      </c>
      <c r="B101" s="7" t="s">
        <v>13</v>
      </c>
      <c r="C101" s="7" t="s">
        <v>59</v>
      </c>
      <c r="D101" s="7" t="s">
        <v>275</v>
      </c>
      <c r="E101" s="7" t="s">
        <v>276</v>
      </c>
      <c r="F101" s="7" t="s">
        <v>277</v>
      </c>
      <c r="G101" s="11">
        <v>1</v>
      </c>
      <c r="H101" s="11">
        <v>14713000</v>
      </c>
      <c r="I101" s="11" t="str">
        <f>"Tháng"&amp;" "&amp;MONTH(Du_Lieu[[#This Row],[Date]])</f>
        <v>Tháng 6</v>
      </c>
      <c r="J101" s="12">
        <f t="shared" si="3"/>
        <v>629.837328767123</v>
      </c>
      <c r="K101" s="12" t="str">
        <f t="shared" si="4"/>
        <v>OTHER</v>
      </c>
      <c r="L101" s="13">
        <f t="shared" si="5"/>
        <v>0.5</v>
      </c>
      <c r="M101" s="15"/>
      <c r="N101" s="7">
        <f>COUNTIF(F:F,Du_Lieu[[#This Row],[Invoice]])</f>
        <v>1</v>
      </c>
    </row>
    <row r="102" spans="1:14">
      <c r="A102" s="10">
        <v>44353</v>
      </c>
      <c r="B102" s="7" t="s">
        <v>44</v>
      </c>
      <c r="C102" s="7" t="s">
        <v>59</v>
      </c>
      <c r="D102" s="7" t="s">
        <v>278</v>
      </c>
      <c r="E102" s="7" t="s">
        <v>279</v>
      </c>
      <c r="F102" s="7" t="s">
        <v>280</v>
      </c>
      <c r="G102" s="11">
        <v>1</v>
      </c>
      <c r="H102" s="11">
        <v>5416000</v>
      </c>
      <c r="I102" s="11" t="str">
        <f>"Tháng"&amp;" "&amp;MONTH(Du_Lieu[[#This Row],[Date]])</f>
        <v>Tháng 6</v>
      </c>
      <c r="J102" s="12">
        <f t="shared" si="3"/>
        <v>231.849315068493</v>
      </c>
      <c r="K102" s="12" t="str">
        <f t="shared" si="4"/>
        <v>OTHER</v>
      </c>
      <c r="L102" s="13">
        <f t="shared" si="5"/>
        <v>1</v>
      </c>
      <c r="M102" s="15"/>
      <c r="N102" s="7">
        <f>COUNTIF(F:F,Du_Lieu[[#This Row],[Invoice]])</f>
        <v>1</v>
      </c>
    </row>
    <row r="103" spans="1:14">
      <c r="A103" s="10">
        <v>44353</v>
      </c>
      <c r="B103" s="7" t="s">
        <v>44</v>
      </c>
      <c r="C103" s="7" t="s">
        <v>59</v>
      </c>
      <c r="D103" s="7" t="s">
        <v>281</v>
      </c>
      <c r="E103" s="7" t="s">
        <v>282</v>
      </c>
      <c r="F103" s="7" t="s">
        <v>283</v>
      </c>
      <c r="G103" s="11">
        <v>1</v>
      </c>
      <c r="H103" s="11">
        <v>33397000</v>
      </c>
      <c r="I103" s="11" t="str">
        <f>"Tháng"&amp;" "&amp;MONTH(Du_Lieu[[#This Row],[Date]])</f>
        <v>Tháng 6</v>
      </c>
      <c r="J103" s="12">
        <f t="shared" si="3"/>
        <v>1429.66609589041</v>
      </c>
      <c r="K103" s="12" t="str">
        <f t="shared" si="4"/>
        <v>OTHER</v>
      </c>
      <c r="L103" s="13">
        <f t="shared" si="5"/>
        <v>0.5</v>
      </c>
      <c r="M103" s="15"/>
      <c r="N103" s="7">
        <f>COUNTIF(F:F,Du_Lieu[[#This Row],[Invoice]])</f>
        <v>2</v>
      </c>
    </row>
    <row r="104" spans="1:14">
      <c r="A104" s="10">
        <v>44353</v>
      </c>
      <c r="B104" s="7" t="s">
        <v>44</v>
      </c>
      <c r="C104" s="7" t="s">
        <v>59</v>
      </c>
      <c r="D104" s="7" t="s">
        <v>267</v>
      </c>
      <c r="E104" s="7" t="s">
        <v>282</v>
      </c>
      <c r="F104" s="7" t="s">
        <v>283</v>
      </c>
      <c r="G104" s="11">
        <v>1</v>
      </c>
      <c r="H104" s="11">
        <v>8666000</v>
      </c>
      <c r="I104" s="11" t="str">
        <f>"Tháng"&amp;" "&amp;MONTH(Du_Lieu[[#This Row],[Date]])</f>
        <v>Tháng 6</v>
      </c>
      <c r="J104" s="12">
        <f t="shared" si="3"/>
        <v>370.97602739726</v>
      </c>
      <c r="K104" s="12" t="str">
        <f t="shared" si="4"/>
        <v>OTHER</v>
      </c>
      <c r="L104" s="13">
        <f t="shared" si="5"/>
        <v>0.5</v>
      </c>
      <c r="M104" s="15"/>
      <c r="N104" s="7">
        <f>COUNTIF(F:F,Du_Lieu[[#This Row],[Invoice]])</f>
        <v>2</v>
      </c>
    </row>
    <row r="105" spans="1:14">
      <c r="A105" s="10">
        <v>44356</v>
      </c>
      <c r="B105" s="7" t="s">
        <v>13</v>
      </c>
      <c r="C105" s="7" t="s">
        <v>59</v>
      </c>
      <c r="D105" s="7" t="s">
        <v>284</v>
      </c>
      <c r="E105" s="7" t="s">
        <v>285</v>
      </c>
      <c r="F105" s="7" t="s">
        <v>286</v>
      </c>
      <c r="G105" s="11">
        <v>1</v>
      </c>
      <c r="H105" s="11">
        <v>22566000</v>
      </c>
      <c r="I105" s="11" t="str">
        <f>"Tháng"&amp;" "&amp;MONTH(Du_Lieu[[#This Row],[Date]])</f>
        <v>Tháng 6</v>
      </c>
      <c r="J105" s="12">
        <f t="shared" si="3"/>
        <v>966.010273972603</v>
      </c>
      <c r="K105" s="12" t="str">
        <f t="shared" si="4"/>
        <v>OTHER</v>
      </c>
      <c r="L105" s="13">
        <f t="shared" si="5"/>
        <v>1</v>
      </c>
      <c r="M105" s="15"/>
      <c r="N105" s="7">
        <f>COUNTIF(F:F,Du_Lieu[[#This Row],[Invoice]])</f>
        <v>1</v>
      </c>
    </row>
    <row r="106" spans="1:14">
      <c r="A106" s="10">
        <v>44356</v>
      </c>
      <c r="B106" s="7" t="s">
        <v>13</v>
      </c>
      <c r="C106" s="7" t="s">
        <v>59</v>
      </c>
      <c r="D106" s="7" t="s">
        <v>287</v>
      </c>
      <c r="E106" s="7" t="s">
        <v>276</v>
      </c>
      <c r="F106" s="7" t="s">
        <v>288</v>
      </c>
      <c r="G106" s="11">
        <v>1</v>
      </c>
      <c r="H106" s="11">
        <v>11554000</v>
      </c>
      <c r="I106" s="11" t="str">
        <f>"Tháng"&amp;" "&amp;MONTH(Du_Lieu[[#This Row],[Date]])</f>
        <v>Tháng 6</v>
      </c>
      <c r="J106" s="12">
        <f t="shared" si="3"/>
        <v>494.606164383562</v>
      </c>
      <c r="K106" s="12" t="str">
        <f t="shared" si="4"/>
        <v>OTHER</v>
      </c>
      <c r="L106" s="13">
        <f t="shared" si="5"/>
        <v>0.5</v>
      </c>
      <c r="M106" s="15"/>
      <c r="N106" s="7">
        <f>COUNTIF(F:F,Du_Lieu[[#This Row],[Invoice]])</f>
        <v>1</v>
      </c>
    </row>
    <row r="107" spans="1:14">
      <c r="A107" s="10">
        <v>44356</v>
      </c>
      <c r="B107" s="7" t="s">
        <v>44</v>
      </c>
      <c r="C107" s="7" t="s">
        <v>59</v>
      </c>
      <c r="D107" s="7" t="s">
        <v>289</v>
      </c>
      <c r="E107" s="7" t="s">
        <v>290</v>
      </c>
      <c r="F107" s="7" t="s">
        <v>291</v>
      </c>
      <c r="G107" s="11">
        <v>1</v>
      </c>
      <c r="H107" s="11">
        <v>6229000</v>
      </c>
      <c r="I107" s="11" t="str">
        <f>"Tháng"&amp;" "&amp;MONTH(Du_Lieu[[#This Row],[Date]])</f>
        <v>Tháng 6</v>
      </c>
      <c r="J107" s="12">
        <f t="shared" si="3"/>
        <v>266.652397260274</v>
      </c>
      <c r="K107" s="12" t="str">
        <f t="shared" si="4"/>
        <v>OTHER</v>
      </c>
      <c r="L107" s="13">
        <f t="shared" si="5"/>
        <v>1</v>
      </c>
      <c r="M107" s="15"/>
      <c r="N107" s="7">
        <f>COUNTIF(F:F,Du_Lieu[[#This Row],[Invoice]])</f>
        <v>1</v>
      </c>
    </row>
    <row r="108" spans="1:14">
      <c r="A108" s="10">
        <v>44356</v>
      </c>
      <c r="B108" s="7" t="s">
        <v>44</v>
      </c>
      <c r="C108" s="7" t="s">
        <v>59</v>
      </c>
      <c r="D108" s="7" t="s">
        <v>289</v>
      </c>
      <c r="E108" s="7" t="s">
        <v>292</v>
      </c>
      <c r="F108" s="7" t="s">
        <v>293</v>
      </c>
      <c r="G108" s="11">
        <v>1</v>
      </c>
      <c r="H108" s="11">
        <v>6229000</v>
      </c>
      <c r="I108" s="11" t="str">
        <f>"Tháng"&amp;" "&amp;MONTH(Du_Lieu[[#This Row],[Date]])</f>
        <v>Tháng 6</v>
      </c>
      <c r="J108" s="12">
        <f t="shared" si="3"/>
        <v>266.652397260274</v>
      </c>
      <c r="K108" s="12" t="str">
        <f t="shared" si="4"/>
        <v>OTHER</v>
      </c>
      <c r="L108" s="13">
        <f t="shared" si="5"/>
        <v>1</v>
      </c>
      <c r="M108" s="15"/>
      <c r="N108" s="7">
        <f>COUNTIF(F:F,Du_Lieu[[#This Row],[Invoice]])</f>
        <v>1</v>
      </c>
    </row>
    <row r="109" spans="1:14">
      <c r="A109" s="10">
        <v>44358</v>
      </c>
      <c r="B109" s="7" t="s">
        <v>44</v>
      </c>
      <c r="C109" s="7" t="s">
        <v>59</v>
      </c>
      <c r="D109" s="7" t="s">
        <v>294</v>
      </c>
      <c r="E109" s="7" t="s">
        <v>295</v>
      </c>
      <c r="F109" s="7" t="s">
        <v>296</v>
      </c>
      <c r="G109" s="11">
        <v>1</v>
      </c>
      <c r="H109" s="11">
        <v>65892000</v>
      </c>
      <c r="I109" s="11" t="str">
        <f>"Tháng"&amp;" "&amp;MONTH(Du_Lieu[[#This Row],[Date]])</f>
        <v>Tháng 6</v>
      </c>
      <c r="J109" s="12">
        <f t="shared" si="3"/>
        <v>2820.71917808219</v>
      </c>
      <c r="K109" s="12" t="str">
        <f t="shared" si="4"/>
        <v>OTHER</v>
      </c>
      <c r="L109" s="13">
        <f t="shared" si="5"/>
        <v>1</v>
      </c>
      <c r="M109" s="15"/>
      <c r="N109" s="7">
        <f>COUNTIF(F:F,Du_Lieu[[#This Row],[Invoice]])</f>
        <v>1</v>
      </c>
    </row>
    <row r="110" spans="1:14">
      <c r="A110" s="10">
        <v>44358</v>
      </c>
      <c r="B110" s="7" t="s">
        <v>44</v>
      </c>
      <c r="C110" s="7" t="s">
        <v>59</v>
      </c>
      <c r="D110" s="7" t="s">
        <v>289</v>
      </c>
      <c r="E110" s="7" t="s">
        <v>297</v>
      </c>
      <c r="F110" s="7" t="s">
        <v>298</v>
      </c>
      <c r="G110" s="11">
        <v>1</v>
      </c>
      <c r="H110" s="11">
        <v>6229000</v>
      </c>
      <c r="I110" s="11" t="str">
        <f>"Tháng"&amp;" "&amp;MONTH(Du_Lieu[[#This Row],[Date]])</f>
        <v>Tháng 6</v>
      </c>
      <c r="J110" s="12">
        <f t="shared" si="3"/>
        <v>266.652397260274</v>
      </c>
      <c r="K110" s="12" t="str">
        <f t="shared" si="4"/>
        <v>OTHER</v>
      </c>
      <c r="L110" s="13">
        <f t="shared" si="5"/>
        <v>1</v>
      </c>
      <c r="M110" s="15"/>
      <c r="N110" s="7">
        <f>COUNTIF(F:F,Du_Lieu[[#This Row],[Invoice]])</f>
        <v>1</v>
      </c>
    </row>
    <row r="111" spans="1:14">
      <c r="A111" s="10">
        <v>44359</v>
      </c>
      <c r="B111" s="7" t="s">
        <v>44</v>
      </c>
      <c r="C111" s="7" t="s">
        <v>59</v>
      </c>
      <c r="D111" s="7" t="s">
        <v>77</v>
      </c>
      <c r="E111" s="7" t="s">
        <v>299</v>
      </c>
      <c r="F111" s="7" t="s">
        <v>300</v>
      </c>
      <c r="G111" s="11">
        <v>1</v>
      </c>
      <c r="H111" s="11">
        <v>6229000</v>
      </c>
      <c r="I111" s="11" t="str">
        <f>"Tháng"&amp;" "&amp;MONTH(Du_Lieu[[#This Row],[Date]])</f>
        <v>Tháng 6</v>
      </c>
      <c r="J111" s="12">
        <f t="shared" si="3"/>
        <v>266.652397260274</v>
      </c>
      <c r="K111" s="12" t="str">
        <f t="shared" si="4"/>
        <v>OTHER</v>
      </c>
      <c r="L111" s="13">
        <f t="shared" si="5"/>
        <v>1</v>
      </c>
      <c r="M111" s="15"/>
      <c r="N111" s="7">
        <f>COUNTIF(F:F,Du_Lieu[[#This Row],[Invoice]])</f>
        <v>1</v>
      </c>
    </row>
    <row r="112" spans="1:14">
      <c r="A112" s="10">
        <v>44359</v>
      </c>
      <c r="B112" s="7" t="s">
        <v>13</v>
      </c>
      <c r="C112" s="7" t="s">
        <v>59</v>
      </c>
      <c r="D112" s="7" t="s">
        <v>301</v>
      </c>
      <c r="E112" s="7" t="s">
        <v>302</v>
      </c>
      <c r="F112" s="7" t="s">
        <v>303</v>
      </c>
      <c r="G112" s="11">
        <v>1</v>
      </c>
      <c r="H112" s="11">
        <v>184134000</v>
      </c>
      <c r="I112" s="11" t="str">
        <f>"Tháng"&amp;" "&amp;MONTH(Du_Lieu[[#This Row],[Date]])</f>
        <v>Tháng 6</v>
      </c>
      <c r="J112" s="12">
        <f t="shared" si="3"/>
        <v>7882.44863013699</v>
      </c>
      <c r="K112" s="12" t="str">
        <f t="shared" si="4"/>
        <v>CLIENTELING OR CT</v>
      </c>
      <c r="L112" s="13">
        <f t="shared" si="5"/>
        <v>1</v>
      </c>
      <c r="M112" s="15"/>
      <c r="N112" s="7">
        <f>COUNTIF(F:F,Du_Lieu[[#This Row],[Invoice]])</f>
        <v>1</v>
      </c>
    </row>
    <row r="113" spans="1:14">
      <c r="A113" s="10">
        <v>44359</v>
      </c>
      <c r="B113" s="7" t="s">
        <v>44</v>
      </c>
      <c r="C113" s="7" t="s">
        <v>59</v>
      </c>
      <c r="D113" s="7" t="s">
        <v>278</v>
      </c>
      <c r="E113" s="7" t="s">
        <v>304</v>
      </c>
      <c r="F113" s="7" t="s">
        <v>305</v>
      </c>
      <c r="G113" s="11">
        <v>1</v>
      </c>
      <c r="H113" s="11">
        <v>5416000</v>
      </c>
      <c r="I113" s="11" t="str">
        <f>"Tháng"&amp;" "&amp;MONTH(Du_Lieu[[#This Row],[Date]])</f>
        <v>Tháng 6</v>
      </c>
      <c r="J113" s="12">
        <f t="shared" si="3"/>
        <v>231.849315068493</v>
      </c>
      <c r="K113" s="12" t="str">
        <f t="shared" si="4"/>
        <v>OTHER</v>
      </c>
      <c r="L113" s="13">
        <f t="shared" si="5"/>
        <v>1</v>
      </c>
      <c r="M113" s="15"/>
      <c r="N113" s="7">
        <f>COUNTIF(F:F,Du_Lieu[[#This Row],[Invoice]])</f>
        <v>1</v>
      </c>
    </row>
    <row r="114" spans="1:14">
      <c r="A114" s="10">
        <v>44360</v>
      </c>
      <c r="B114" s="7" t="s">
        <v>44</v>
      </c>
      <c r="C114" s="7" t="s">
        <v>59</v>
      </c>
      <c r="D114" s="7" t="s">
        <v>140</v>
      </c>
      <c r="E114" s="7" t="s">
        <v>306</v>
      </c>
      <c r="F114" s="7" t="s">
        <v>307</v>
      </c>
      <c r="G114" s="11">
        <v>1</v>
      </c>
      <c r="H114" s="11">
        <v>6229000</v>
      </c>
      <c r="I114" s="11" t="str">
        <f>"Tháng"&amp;" "&amp;MONTH(Du_Lieu[[#This Row],[Date]])</f>
        <v>Tháng 6</v>
      </c>
      <c r="J114" s="12">
        <f t="shared" si="3"/>
        <v>266.652397260274</v>
      </c>
      <c r="K114" s="12" t="str">
        <f t="shared" si="4"/>
        <v>OTHER</v>
      </c>
      <c r="L114" s="13">
        <f t="shared" si="5"/>
        <v>1</v>
      </c>
      <c r="M114" s="15"/>
      <c r="N114" s="7">
        <f>COUNTIF(F:F,Du_Lieu[[#This Row],[Invoice]])</f>
        <v>1</v>
      </c>
    </row>
    <row r="115" spans="1:14">
      <c r="A115" s="10">
        <v>44360</v>
      </c>
      <c r="B115" s="7" t="s">
        <v>44</v>
      </c>
      <c r="C115" s="7" t="s">
        <v>59</v>
      </c>
      <c r="D115" s="7" t="s">
        <v>243</v>
      </c>
      <c r="E115" s="7" t="s">
        <v>308</v>
      </c>
      <c r="F115" s="7" t="s">
        <v>309</v>
      </c>
      <c r="G115" s="11">
        <v>1</v>
      </c>
      <c r="H115" s="11">
        <v>26176000</v>
      </c>
      <c r="I115" s="11" t="str">
        <f>"Tháng"&amp;" "&amp;MONTH(Du_Lieu[[#This Row],[Date]])</f>
        <v>Tháng 6</v>
      </c>
      <c r="J115" s="12">
        <f t="shared" si="3"/>
        <v>1120.54794520548</v>
      </c>
      <c r="K115" s="12" t="str">
        <f t="shared" si="4"/>
        <v>OTHER</v>
      </c>
      <c r="L115" s="13">
        <f t="shared" si="5"/>
        <v>1</v>
      </c>
      <c r="M115" s="15"/>
      <c r="N115" s="7">
        <f>COUNTIF(F:F,Du_Lieu[[#This Row],[Invoice]])</f>
        <v>1</v>
      </c>
    </row>
    <row r="116" spans="1:14">
      <c r="A116" s="10">
        <v>44362</v>
      </c>
      <c r="B116" s="7" t="s">
        <v>44</v>
      </c>
      <c r="C116" s="7" t="s">
        <v>59</v>
      </c>
      <c r="D116" s="7" t="s">
        <v>310</v>
      </c>
      <c r="E116" s="7" t="s">
        <v>311</v>
      </c>
      <c r="F116" s="7" t="s">
        <v>312</v>
      </c>
      <c r="G116" s="11">
        <v>1</v>
      </c>
      <c r="H116" s="11">
        <v>60476000</v>
      </c>
      <c r="I116" s="11" t="str">
        <f>"Tháng"&amp;" "&amp;MONTH(Du_Lieu[[#This Row],[Date]])</f>
        <v>Tháng 6</v>
      </c>
      <c r="J116" s="12">
        <f t="shared" si="3"/>
        <v>2588.8698630137</v>
      </c>
      <c r="K116" s="12" t="str">
        <f t="shared" si="4"/>
        <v>OTHER</v>
      </c>
      <c r="L116" s="13">
        <f t="shared" si="5"/>
        <v>1</v>
      </c>
      <c r="M116" s="15"/>
      <c r="N116" s="7">
        <f>COUNTIF(F:F,Du_Lieu[[#This Row],[Invoice]])</f>
        <v>1</v>
      </c>
    </row>
    <row r="117" spans="1:14">
      <c r="A117" s="10">
        <v>44364</v>
      </c>
      <c r="B117" s="7" t="s">
        <v>13</v>
      </c>
      <c r="C117" s="7" t="s">
        <v>59</v>
      </c>
      <c r="D117" s="7" t="s">
        <v>84</v>
      </c>
      <c r="E117" s="7" t="s">
        <v>313</v>
      </c>
      <c r="F117" s="7" t="s">
        <v>314</v>
      </c>
      <c r="G117" s="11">
        <v>1</v>
      </c>
      <c r="H117" s="11">
        <v>6229000</v>
      </c>
      <c r="I117" s="11" t="str">
        <f>"Tháng"&amp;" "&amp;MONTH(Du_Lieu[[#This Row],[Date]])</f>
        <v>Tháng 6</v>
      </c>
      <c r="J117" s="12">
        <f t="shared" si="3"/>
        <v>266.652397260274</v>
      </c>
      <c r="K117" s="12" t="str">
        <f t="shared" si="4"/>
        <v>OTHER</v>
      </c>
      <c r="L117" s="13">
        <f t="shared" si="5"/>
        <v>1</v>
      </c>
      <c r="M117" s="15"/>
      <c r="N117" s="7">
        <f>COUNTIF(F:F,Du_Lieu[[#This Row],[Invoice]])</f>
        <v>1</v>
      </c>
    </row>
    <row r="118" spans="1:14">
      <c r="A118" s="10">
        <v>44364</v>
      </c>
      <c r="B118" s="7" t="s">
        <v>13</v>
      </c>
      <c r="C118" s="7" t="s">
        <v>59</v>
      </c>
      <c r="D118" s="7" t="s">
        <v>274</v>
      </c>
      <c r="E118" s="7" t="s">
        <v>315</v>
      </c>
      <c r="F118" s="7" t="s">
        <v>316</v>
      </c>
      <c r="G118" s="11">
        <v>1</v>
      </c>
      <c r="H118" s="11">
        <v>14803000</v>
      </c>
      <c r="I118" s="11" t="str">
        <f>"Tháng"&amp;" "&amp;MONTH(Du_Lieu[[#This Row],[Date]])</f>
        <v>Tháng 6</v>
      </c>
      <c r="J118" s="12">
        <f t="shared" si="3"/>
        <v>633.690068493151</v>
      </c>
      <c r="K118" s="12" t="str">
        <f t="shared" si="4"/>
        <v>OTHER</v>
      </c>
      <c r="L118" s="13">
        <f t="shared" si="5"/>
        <v>0.5</v>
      </c>
      <c r="M118" s="15"/>
      <c r="N118" s="7">
        <f>COUNTIF(F:F,Du_Lieu[[#This Row],[Invoice]])</f>
        <v>2</v>
      </c>
    </row>
    <row r="119" spans="1:14">
      <c r="A119" s="10">
        <v>44364</v>
      </c>
      <c r="B119" s="7" t="s">
        <v>13</v>
      </c>
      <c r="C119" s="7" t="s">
        <v>59</v>
      </c>
      <c r="D119" s="7" t="s">
        <v>317</v>
      </c>
      <c r="E119" s="7" t="s">
        <v>315</v>
      </c>
      <c r="F119" s="7" t="s">
        <v>316</v>
      </c>
      <c r="G119" s="11">
        <v>1</v>
      </c>
      <c r="H119" s="11">
        <v>150738000</v>
      </c>
      <c r="I119" s="11" t="str">
        <f>"Tháng"&amp;" "&amp;MONTH(Du_Lieu[[#This Row],[Date]])</f>
        <v>Tháng 6</v>
      </c>
      <c r="J119" s="12">
        <f t="shared" si="3"/>
        <v>6452.82534246575</v>
      </c>
      <c r="K119" s="12" t="str">
        <f t="shared" si="4"/>
        <v>CLIENTELING OR CT</v>
      </c>
      <c r="L119" s="13">
        <f t="shared" si="5"/>
        <v>0.5</v>
      </c>
      <c r="M119" s="15"/>
      <c r="N119" s="7">
        <f>COUNTIF(F:F,Du_Lieu[[#This Row],[Invoice]])</f>
        <v>2</v>
      </c>
    </row>
    <row r="120" spans="1:14">
      <c r="A120" s="10">
        <v>44365</v>
      </c>
      <c r="B120" s="7" t="s">
        <v>44</v>
      </c>
      <c r="C120" s="7" t="s">
        <v>59</v>
      </c>
      <c r="D120" s="7" t="s">
        <v>318</v>
      </c>
      <c r="E120" s="7" t="s">
        <v>319</v>
      </c>
      <c r="F120" s="7" t="s">
        <v>320</v>
      </c>
      <c r="G120" s="11">
        <v>1</v>
      </c>
      <c r="H120" s="11">
        <v>68599000</v>
      </c>
      <c r="I120" s="11" t="str">
        <f>"Tháng"&amp;" "&amp;MONTH(Du_Lieu[[#This Row],[Date]])</f>
        <v>Tháng 6</v>
      </c>
      <c r="J120" s="12">
        <f t="shared" si="3"/>
        <v>2936.60102739726</v>
      </c>
      <c r="K120" s="12" t="str">
        <f t="shared" si="4"/>
        <v>OTHER</v>
      </c>
      <c r="L120" s="13">
        <f t="shared" si="5"/>
        <v>0.5</v>
      </c>
      <c r="M120" s="15"/>
      <c r="N120" s="7">
        <f>COUNTIF(F:F,Du_Lieu[[#This Row],[Invoice]])</f>
        <v>2</v>
      </c>
    </row>
    <row r="121" spans="1:14">
      <c r="A121" s="10">
        <v>44365</v>
      </c>
      <c r="B121" s="7" t="s">
        <v>44</v>
      </c>
      <c r="C121" s="7" t="s">
        <v>59</v>
      </c>
      <c r="D121" s="7" t="s">
        <v>105</v>
      </c>
      <c r="E121" s="7" t="s">
        <v>319</v>
      </c>
      <c r="F121" s="7" t="s">
        <v>320</v>
      </c>
      <c r="G121" s="11">
        <v>1</v>
      </c>
      <c r="H121" s="11">
        <v>9388000</v>
      </c>
      <c r="I121" s="11" t="str">
        <f>"Tháng"&amp;" "&amp;MONTH(Du_Lieu[[#This Row],[Date]])</f>
        <v>Tháng 6</v>
      </c>
      <c r="J121" s="12">
        <f t="shared" si="3"/>
        <v>401.883561643836</v>
      </c>
      <c r="K121" s="12" t="str">
        <f t="shared" si="4"/>
        <v>OTHER</v>
      </c>
      <c r="L121" s="13">
        <f t="shared" si="5"/>
        <v>0.5</v>
      </c>
      <c r="M121" s="15"/>
      <c r="N121" s="7">
        <f>COUNTIF(F:F,Du_Lieu[[#This Row],[Invoice]])</f>
        <v>2</v>
      </c>
    </row>
    <row r="122" spans="1:14">
      <c r="A122" s="10">
        <v>44365</v>
      </c>
      <c r="B122" s="7" t="s">
        <v>13</v>
      </c>
      <c r="C122" s="7" t="s">
        <v>59</v>
      </c>
      <c r="D122" s="7" t="s">
        <v>321</v>
      </c>
      <c r="E122" s="7" t="s">
        <v>322</v>
      </c>
      <c r="F122" s="7" t="s">
        <v>323</v>
      </c>
      <c r="G122" s="11">
        <v>1</v>
      </c>
      <c r="H122" s="11">
        <v>55963000</v>
      </c>
      <c r="I122" s="11" t="str">
        <f>"Tháng"&amp;" "&amp;MONTH(Du_Lieu[[#This Row],[Date]])</f>
        <v>Tháng 6</v>
      </c>
      <c r="J122" s="12">
        <f t="shared" si="3"/>
        <v>2395.67636986301</v>
      </c>
      <c r="K122" s="12" t="str">
        <f t="shared" si="4"/>
        <v>OTHER</v>
      </c>
      <c r="L122" s="13">
        <f t="shared" si="5"/>
        <v>0.5</v>
      </c>
      <c r="M122" s="15"/>
      <c r="N122" s="7">
        <f>COUNTIF(F:F,Du_Lieu[[#This Row],[Invoice]])</f>
        <v>2</v>
      </c>
    </row>
    <row r="123" spans="1:14">
      <c r="A123" s="10">
        <v>44365</v>
      </c>
      <c r="B123" s="7" t="s">
        <v>13</v>
      </c>
      <c r="C123" s="7" t="s">
        <v>59</v>
      </c>
      <c r="D123" s="7" t="s">
        <v>324</v>
      </c>
      <c r="E123" s="7" t="s">
        <v>322</v>
      </c>
      <c r="F123" s="7" t="s">
        <v>323</v>
      </c>
      <c r="G123" s="11">
        <v>1</v>
      </c>
      <c r="H123" s="11">
        <v>55963000</v>
      </c>
      <c r="I123" s="11" t="str">
        <f>"Tháng"&amp;" "&amp;MONTH(Du_Lieu[[#This Row],[Date]])</f>
        <v>Tháng 6</v>
      </c>
      <c r="J123" s="12">
        <f t="shared" si="3"/>
        <v>2395.67636986301</v>
      </c>
      <c r="K123" s="12" t="str">
        <f t="shared" si="4"/>
        <v>OTHER</v>
      </c>
      <c r="L123" s="13">
        <f t="shared" si="5"/>
        <v>0.5</v>
      </c>
      <c r="M123" s="15"/>
      <c r="N123" s="7">
        <f>COUNTIF(F:F,Du_Lieu[[#This Row],[Invoice]])</f>
        <v>2</v>
      </c>
    </row>
    <row r="124" spans="1:14">
      <c r="A124" s="10">
        <v>44366</v>
      </c>
      <c r="B124" s="7" t="s">
        <v>15</v>
      </c>
      <c r="C124" s="7" t="s">
        <v>59</v>
      </c>
      <c r="D124" s="7" t="s">
        <v>325</v>
      </c>
      <c r="E124" s="7" t="s">
        <v>326</v>
      </c>
      <c r="F124" s="7" t="s">
        <v>327</v>
      </c>
      <c r="G124" s="11">
        <v>1</v>
      </c>
      <c r="H124" s="11">
        <v>6229000</v>
      </c>
      <c r="I124" s="11" t="str">
        <f>"Tháng"&amp;" "&amp;MONTH(Du_Lieu[[#This Row],[Date]])</f>
        <v>Tháng 6</v>
      </c>
      <c r="J124" s="12">
        <f t="shared" si="3"/>
        <v>266.652397260274</v>
      </c>
      <c r="K124" s="12" t="str">
        <f t="shared" si="4"/>
        <v>OTHER</v>
      </c>
      <c r="L124" s="13">
        <f t="shared" si="5"/>
        <v>1</v>
      </c>
      <c r="M124" s="15"/>
      <c r="N124" s="7">
        <f>COUNTIF(F:F,Du_Lieu[[#This Row],[Invoice]])</f>
        <v>1</v>
      </c>
    </row>
    <row r="125" spans="1:14">
      <c r="A125" s="10">
        <v>44366</v>
      </c>
      <c r="B125" s="7" t="s">
        <v>15</v>
      </c>
      <c r="C125" s="7" t="s">
        <v>59</v>
      </c>
      <c r="D125" s="7" t="s">
        <v>328</v>
      </c>
      <c r="E125" s="7" t="s">
        <v>329</v>
      </c>
      <c r="F125" s="7" t="s">
        <v>330</v>
      </c>
      <c r="G125" s="11">
        <v>1</v>
      </c>
      <c r="H125" s="11">
        <v>60476000</v>
      </c>
      <c r="I125" s="11" t="str">
        <f>"Tháng"&amp;" "&amp;MONTH(Du_Lieu[[#This Row],[Date]])</f>
        <v>Tháng 6</v>
      </c>
      <c r="J125" s="12">
        <f t="shared" si="3"/>
        <v>2588.8698630137</v>
      </c>
      <c r="K125" s="12" t="str">
        <f t="shared" si="4"/>
        <v>OTHER</v>
      </c>
      <c r="L125" s="13">
        <f t="shared" si="5"/>
        <v>0.5</v>
      </c>
      <c r="M125" s="15"/>
      <c r="N125" s="7">
        <f>COUNTIF(F:F,Du_Lieu[[#This Row],[Invoice]])</f>
        <v>1</v>
      </c>
    </row>
    <row r="126" spans="1:14">
      <c r="A126" s="10">
        <v>44367</v>
      </c>
      <c r="B126" s="7" t="s">
        <v>44</v>
      </c>
      <c r="C126" s="7" t="s">
        <v>59</v>
      </c>
      <c r="D126" s="7" t="s">
        <v>331</v>
      </c>
      <c r="E126" s="7" t="s">
        <v>332</v>
      </c>
      <c r="F126" s="7" t="s">
        <v>333</v>
      </c>
      <c r="G126" s="11">
        <v>1</v>
      </c>
      <c r="H126" s="11">
        <v>11464000</v>
      </c>
      <c r="I126" s="11" t="str">
        <f>"Tháng"&amp;" "&amp;MONTH(Du_Lieu[[#This Row],[Date]])</f>
        <v>Tháng 6</v>
      </c>
      <c r="J126" s="12">
        <f t="shared" si="3"/>
        <v>490.753424657534</v>
      </c>
      <c r="K126" s="12" t="str">
        <f t="shared" si="4"/>
        <v>OTHER</v>
      </c>
      <c r="L126" s="13">
        <f t="shared" si="5"/>
        <v>1</v>
      </c>
      <c r="M126" s="15"/>
      <c r="N126" s="7">
        <f>COUNTIF(F:F,Du_Lieu[[#This Row],[Invoice]])</f>
        <v>1</v>
      </c>
    </row>
    <row r="127" spans="1:14">
      <c r="A127" s="10">
        <v>44367</v>
      </c>
      <c r="B127" s="7" t="s">
        <v>13</v>
      </c>
      <c r="C127" s="7" t="s">
        <v>59</v>
      </c>
      <c r="D127" s="7" t="s">
        <v>66</v>
      </c>
      <c r="E127" s="7" t="s">
        <v>334</v>
      </c>
      <c r="F127" s="7" t="s">
        <v>335</v>
      </c>
      <c r="G127" s="11">
        <v>1</v>
      </c>
      <c r="H127" s="11">
        <v>6229000</v>
      </c>
      <c r="I127" s="11" t="str">
        <f>"Tháng"&amp;" "&amp;MONTH(Du_Lieu[[#This Row],[Date]])</f>
        <v>Tháng 6</v>
      </c>
      <c r="J127" s="12">
        <f t="shared" si="3"/>
        <v>266.652397260274</v>
      </c>
      <c r="K127" s="12" t="str">
        <f t="shared" si="4"/>
        <v>OTHER</v>
      </c>
      <c r="L127" s="13">
        <f t="shared" si="5"/>
        <v>1</v>
      </c>
      <c r="M127" s="15"/>
      <c r="N127" s="7">
        <f>COUNTIF(F:F,Du_Lieu[[#This Row],[Invoice]])</f>
        <v>1</v>
      </c>
    </row>
    <row r="128" spans="1:14">
      <c r="A128" s="10">
        <v>44367</v>
      </c>
      <c r="B128" s="7" t="s">
        <v>15</v>
      </c>
      <c r="C128" s="7" t="s">
        <v>59</v>
      </c>
      <c r="D128" s="7" t="s">
        <v>336</v>
      </c>
      <c r="E128" s="7" t="s">
        <v>337</v>
      </c>
      <c r="F128" s="7" t="s">
        <v>338</v>
      </c>
      <c r="G128" s="11">
        <v>1</v>
      </c>
      <c r="H128" s="11">
        <v>86652000</v>
      </c>
      <c r="I128" s="11" t="str">
        <f>"Tháng"&amp;" "&amp;MONTH(Du_Lieu[[#This Row],[Date]])</f>
        <v>Tháng 6</v>
      </c>
      <c r="J128" s="12">
        <f t="shared" si="3"/>
        <v>3709.41780821918</v>
      </c>
      <c r="K128" s="12" t="str">
        <f t="shared" si="4"/>
        <v>CLIENTELING OR CT</v>
      </c>
      <c r="L128" s="13">
        <f t="shared" si="5"/>
        <v>0.5</v>
      </c>
      <c r="M128" s="15"/>
      <c r="N128" s="7">
        <f>COUNTIF(F:F,Du_Lieu[[#This Row],[Invoice]])</f>
        <v>2</v>
      </c>
    </row>
    <row r="129" spans="1:14">
      <c r="A129" s="10">
        <v>44367</v>
      </c>
      <c r="B129" s="7" t="s">
        <v>15</v>
      </c>
      <c r="C129" s="7" t="s">
        <v>59</v>
      </c>
      <c r="D129" s="7" t="s">
        <v>339</v>
      </c>
      <c r="E129" s="7" t="s">
        <v>337</v>
      </c>
      <c r="F129" s="7" t="s">
        <v>338</v>
      </c>
      <c r="G129" s="11">
        <v>1</v>
      </c>
      <c r="H129" s="11">
        <v>43326000</v>
      </c>
      <c r="I129" s="11" t="str">
        <f>"Tháng"&amp;" "&amp;MONTH(Du_Lieu[[#This Row],[Date]])</f>
        <v>Tháng 6</v>
      </c>
      <c r="J129" s="12">
        <f t="shared" si="3"/>
        <v>1854.70890410959</v>
      </c>
      <c r="K129" s="12" t="str">
        <f t="shared" si="4"/>
        <v>OTHER</v>
      </c>
      <c r="L129" s="13">
        <f t="shared" si="5"/>
        <v>0.5</v>
      </c>
      <c r="M129" s="15"/>
      <c r="N129" s="7">
        <f>COUNTIF(F:F,Du_Lieu[[#This Row],[Invoice]])</f>
        <v>2</v>
      </c>
    </row>
    <row r="130" spans="1:14">
      <c r="A130" s="10">
        <v>44368</v>
      </c>
      <c r="B130" s="7" t="s">
        <v>44</v>
      </c>
      <c r="C130" s="7" t="s">
        <v>59</v>
      </c>
      <c r="D130" s="7" t="s">
        <v>340</v>
      </c>
      <c r="E130" s="7" t="s">
        <v>341</v>
      </c>
      <c r="F130" s="7" t="s">
        <v>342</v>
      </c>
      <c r="G130" s="11">
        <v>1</v>
      </c>
      <c r="H130" s="11">
        <v>6229000</v>
      </c>
      <c r="I130" s="11" t="str">
        <f>"Tháng"&amp;" "&amp;MONTH(Du_Lieu[[#This Row],[Date]])</f>
        <v>Tháng 6</v>
      </c>
      <c r="J130" s="12">
        <f t="shared" si="3"/>
        <v>266.652397260274</v>
      </c>
      <c r="K130" s="12" t="str">
        <f t="shared" si="4"/>
        <v>OTHER</v>
      </c>
      <c r="L130" s="13">
        <f t="shared" si="5"/>
        <v>1</v>
      </c>
      <c r="M130" s="15"/>
      <c r="N130" s="7">
        <f>COUNTIF(F:F,Du_Lieu[[#This Row],[Invoice]])</f>
        <v>1</v>
      </c>
    </row>
    <row r="131" spans="1:14">
      <c r="A131" s="10">
        <v>44369</v>
      </c>
      <c r="B131" s="7" t="s">
        <v>44</v>
      </c>
      <c r="C131" s="7" t="s">
        <v>59</v>
      </c>
      <c r="D131" s="7" t="s">
        <v>289</v>
      </c>
      <c r="E131" s="7" t="s">
        <v>343</v>
      </c>
      <c r="F131" s="7" t="s">
        <v>344</v>
      </c>
      <c r="G131" s="11">
        <v>1</v>
      </c>
      <c r="H131" s="11">
        <v>6229000</v>
      </c>
      <c r="I131" s="11" t="str">
        <f>"Tháng"&amp;" "&amp;MONTH(Du_Lieu[[#This Row],[Date]])</f>
        <v>Tháng 6</v>
      </c>
      <c r="J131" s="12">
        <f t="shared" ref="J131:J194" si="6">H131/$M$2</f>
        <v>266.652397260274</v>
      </c>
      <c r="K131" s="12" t="str">
        <f t="shared" ref="K131:K194" si="7">IF(J131&gt;50000,"PLATINUM",IF(AND(J131&gt;25000,J131&lt;50000),"GOLD",IF(AND(J131&gt;10000,J131&lt;25000),"SILVER",IF(AND(J131&gt;3000,J131&lt;10000),"CLIENTELING OR CT","OTHER"))))</f>
        <v>OTHER</v>
      </c>
      <c r="L131" s="13">
        <f t="shared" ref="L131:L194" si="8">1/COUNTIF(E:E,E131)</f>
        <v>0.5</v>
      </c>
      <c r="M131" s="15"/>
      <c r="N131" s="7">
        <f>COUNTIF(F:F,Du_Lieu[[#This Row],[Invoice]])</f>
        <v>2</v>
      </c>
    </row>
    <row r="132" spans="1:14">
      <c r="A132" s="10">
        <v>44369</v>
      </c>
      <c r="B132" s="7" t="s">
        <v>44</v>
      </c>
      <c r="C132" s="7" t="s">
        <v>59</v>
      </c>
      <c r="D132" s="7" t="s">
        <v>159</v>
      </c>
      <c r="E132" s="7" t="s">
        <v>343</v>
      </c>
      <c r="F132" s="7" t="s">
        <v>344</v>
      </c>
      <c r="G132" s="11">
        <v>1</v>
      </c>
      <c r="H132" s="11">
        <v>5416000</v>
      </c>
      <c r="I132" s="11" t="str">
        <f>"Tháng"&amp;" "&amp;MONTH(Du_Lieu[[#This Row],[Date]])</f>
        <v>Tháng 6</v>
      </c>
      <c r="J132" s="12">
        <f t="shared" si="6"/>
        <v>231.849315068493</v>
      </c>
      <c r="K132" s="12" t="str">
        <f t="shared" si="7"/>
        <v>OTHER</v>
      </c>
      <c r="L132" s="13">
        <f t="shared" si="8"/>
        <v>0.5</v>
      </c>
      <c r="M132" s="15"/>
      <c r="N132" s="7">
        <f>COUNTIF(F:F,Du_Lieu[[#This Row],[Invoice]])</f>
        <v>2</v>
      </c>
    </row>
    <row r="133" spans="1:14">
      <c r="A133" s="10">
        <v>44369</v>
      </c>
      <c r="B133" s="7" t="s">
        <v>13</v>
      </c>
      <c r="C133" s="7" t="s">
        <v>59</v>
      </c>
      <c r="D133" s="7" t="s">
        <v>345</v>
      </c>
      <c r="E133" s="7" t="s">
        <v>346</v>
      </c>
      <c r="F133" s="7" t="s">
        <v>347</v>
      </c>
      <c r="G133" s="11">
        <v>1</v>
      </c>
      <c r="H133" s="11">
        <v>72210000</v>
      </c>
      <c r="I133" s="11" t="str">
        <f>"Tháng"&amp;" "&amp;MONTH(Du_Lieu[[#This Row],[Date]])</f>
        <v>Tháng 6</v>
      </c>
      <c r="J133" s="12">
        <f t="shared" si="6"/>
        <v>3091.18150684932</v>
      </c>
      <c r="K133" s="12" t="str">
        <f t="shared" si="7"/>
        <v>CLIENTELING OR CT</v>
      </c>
      <c r="L133" s="13">
        <f t="shared" si="8"/>
        <v>0.5</v>
      </c>
      <c r="M133" s="15"/>
      <c r="N133" s="7">
        <f>COUNTIF(F:F,Du_Lieu[[#This Row],[Invoice]])</f>
        <v>1</v>
      </c>
    </row>
    <row r="134" spans="1:14">
      <c r="A134" s="10">
        <v>44369</v>
      </c>
      <c r="B134" s="7" t="s">
        <v>13</v>
      </c>
      <c r="C134" s="7" t="s">
        <v>59</v>
      </c>
      <c r="D134" s="7" t="s">
        <v>74</v>
      </c>
      <c r="E134" s="7" t="s">
        <v>346</v>
      </c>
      <c r="F134" s="7" t="s">
        <v>348</v>
      </c>
      <c r="G134" s="11">
        <v>1</v>
      </c>
      <c r="H134" s="11">
        <v>114633000</v>
      </c>
      <c r="I134" s="11" t="str">
        <f>"Tháng"&amp;" "&amp;MONTH(Du_Lieu[[#This Row],[Date]])</f>
        <v>Tháng 6</v>
      </c>
      <c r="J134" s="12">
        <f t="shared" si="6"/>
        <v>4907.2345890411</v>
      </c>
      <c r="K134" s="12" t="str">
        <f t="shared" si="7"/>
        <v>CLIENTELING OR CT</v>
      </c>
      <c r="L134" s="13">
        <f t="shared" si="8"/>
        <v>0.5</v>
      </c>
      <c r="M134" s="15"/>
      <c r="N134" s="7">
        <f>COUNTIF(F:F,Du_Lieu[[#This Row],[Invoice]])</f>
        <v>1</v>
      </c>
    </row>
    <row r="135" spans="1:14">
      <c r="A135" s="10">
        <v>44369</v>
      </c>
      <c r="B135" s="7" t="s">
        <v>263</v>
      </c>
      <c r="C135" s="7" t="s">
        <v>59</v>
      </c>
      <c r="D135" s="7" t="s">
        <v>349</v>
      </c>
      <c r="E135" s="7" t="s">
        <v>350</v>
      </c>
      <c r="F135" s="7" t="s">
        <v>351</v>
      </c>
      <c r="G135" s="11">
        <v>1</v>
      </c>
      <c r="H135" s="11">
        <v>10832000</v>
      </c>
      <c r="I135" s="11" t="str">
        <f>"Tháng"&amp;" "&amp;MONTH(Du_Lieu[[#This Row],[Date]])</f>
        <v>Tháng 6</v>
      </c>
      <c r="J135" s="12">
        <f t="shared" si="6"/>
        <v>463.698630136986</v>
      </c>
      <c r="K135" s="12" t="str">
        <f t="shared" si="7"/>
        <v>OTHER</v>
      </c>
      <c r="L135" s="13">
        <f t="shared" si="8"/>
        <v>1</v>
      </c>
      <c r="M135" s="15"/>
      <c r="N135" s="7">
        <f>COUNTIF(F:F,Du_Lieu[[#This Row],[Invoice]])</f>
        <v>1</v>
      </c>
    </row>
    <row r="136" spans="1:14">
      <c r="A136" s="10">
        <v>44370</v>
      </c>
      <c r="B136" s="7" t="s">
        <v>13</v>
      </c>
      <c r="C136" s="7" t="s">
        <v>59</v>
      </c>
      <c r="D136" s="7" t="s">
        <v>352</v>
      </c>
      <c r="E136" s="7" t="s">
        <v>353</v>
      </c>
      <c r="F136" s="7" t="s">
        <v>354</v>
      </c>
      <c r="G136" s="11">
        <v>1</v>
      </c>
      <c r="H136" s="11">
        <v>80333000</v>
      </c>
      <c r="I136" s="11" t="str">
        <f>"Tháng"&amp;" "&amp;MONTH(Du_Lieu[[#This Row],[Date]])</f>
        <v>Tháng 6</v>
      </c>
      <c r="J136" s="12">
        <f t="shared" si="6"/>
        <v>3438.91267123288</v>
      </c>
      <c r="K136" s="12" t="str">
        <f t="shared" si="7"/>
        <v>CLIENTELING OR CT</v>
      </c>
      <c r="L136" s="13">
        <f t="shared" si="8"/>
        <v>0.5</v>
      </c>
      <c r="M136" s="15"/>
      <c r="N136" s="7">
        <f>COUNTIF(F:F,Du_Lieu[[#This Row],[Invoice]])</f>
        <v>2</v>
      </c>
    </row>
    <row r="137" spans="1:14">
      <c r="A137" s="10">
        <v>44370</v>
      </c>
      <c r="B137" s="7" t="s">
        <v>13</v>
      </c>
      <c r="C137" s="7" t="s">
        <v>59</v>
      </c>
      <c r="D137" s="7" t="s">
        <v>355</v>
      </c>
      <c r="E137" s="7" t="s">
        <v>353</v>
      </c>
      <c r="F137" s="7" t="s">
        <v>354</v>
      </c>
      <c r="G137" s="11">
        <v>1</v>
      </c>
      <c r="H137" s="11">
        <v>200381000</v>
      </c>
      <c r="I137" s="11" t="str">
        <f>"Tháng"&amp;" "&amp;MONTH(Du_Lieu[[#This Row],[Date]])</f>
        <v>Tháng 6</v>
      </c>
      <c r="J137" s="12">
        <f t="shared" si="6"/>
        <v>8577.95376712329</v>
      </c>
      <c r="K137" s="12" t="str">
        <f t="shared" si="7"/>
        <v>CLIENTELING OR CT</v>
      </c>
      <c r="L137" s="13">
        <f t="shared" si="8"/>
        <v>0.5</v>
      </c>
      <c r="M137" s="15"/>
      <c r="N137" s="7">
        <f>COUNTIF(F:F,Du_Lieu[[#This Row],[Invoice]])</f>
        <v>2</v>
      </c>
    </row>
    <row r="138" spans="1:14">
      <c r="A138" s="10">
        <v>44372</v>
      </c>
      <c r="B138" s="7" t="s">
        <v>44</v>
      </c>
      <c r="C138" s="7" t="s">
        <v>59</v>
      </c>
      <c r="D138" s="7" t="s">
        <v>356</v>
      </c>
      <c r="E138" s="7" t="s">
        <v>357</v>
      </c>
      <c r="F138" s="7" t="s">
        <v>358</v>
      </c>
      <c r="G138" s="11">
        <v>1</v>
      </c>
      <c r="H138" s="11">
        <v>40618000</v>
      </c>
      <c r="I138" s="11" t="str">
        <f>"Tháng"&amp;" "&amp;MONTH(Du_Lieu[[#This Row],[Date]])</f>
        <v>Tháng 6</v>
      </c>
      <c r="J138" s="12">
        <f t="shared" si="6"/>
        <v>1738.78424657534</v>
      </c>
      <c r="K138" s="12" t="str">
        <f t="shared" si="7"/>
        <v>OTHER</v>
      </c>
      <c r="L138" s="13">
        <f t="shared" si="8"/>
        <v>1</v>
      </c>
      <c r="M138" s="15"/>
      <c r="N138" s="7">
        <f>COUNTIF(F:F,Du_Lieu[[#This Row],[Invoice]])</f>
        <v>1</v>
      </c>
    </row>
    <row r="139" spans="1:14">
      <c r="A139" s="10">
        <v>44372</v>
      </c>
      <c r="B139" s="7" t="s">
        <v>13</v>
      </c>
      <c r="C139" s="7" t="s">
        <v>59</v>
      </c>
      <c r="D139" s="7" t="s">
        <v>359</v>
      </c>
      <c r="E139" s="7" t="s">
        <v>163</v>
      </c>
      <c r="F139" s="7" t="s">
        <v>360</v>
      </c>
      <c r="G139" s="11">
        <v>1</v>
      </c>
      <c r="H139" s="11">
        <v>92067000</v>
      </c>
      <c r="I139" s="11" t="str">
        <f>"Tháng"&amp;" "&amp;MONTH(Du_Lieu[[#This Row],[Date]])</f>
        <v>Tháng 6</v>
      </c>
      <c r="J139" s="12">
        <f t="shared" si="6"/>
        <v>3941.22431506849</v>
      </c>
      <c r="K139" s="12" t="str">
        <f t="shared" si="7"/>
        <v>CLIENTELING OR CT</v>
      </c>
      <c r="L139" s="13">
        <f t="shared" si="8"/>
        <v>0.166666666666667</v>
      </c>
      <c r="M139" s="15"/>
      <c r="N139" s="7">
        <f>COUNTIF(F:F,Du_Lieu[[#This Row],[Invoice]])</f>
        <v>2</v>
      </c>
    </row>
    <row r="140" spans="1:14">
      <c r="A140" s="10">
        <v>44372</v>
      </c>
      <c r="B140" s="7" t="s">
        <v>13</v>
      </c>
      <c r="C140" s="7" t="s">
        <v>59</v>
      </c>
      <c r="D140" s="7" t="s">
        <v>267</v>
      </c>
      <c r="E140" s="7" t="s">
        <v>163</v>
      </c>
      <c r="F140" s="7" t="s">
        <v>360</v>
      </c>
      <c r="G140" s="11">
        <v>1</v>
      </c>
      <c r="H140" s="11">
        <v>9388000</v>
      </c>
      <c r="I140" s="11" t="str">
        <f>"Tháng"&amp;" "&amp;MONTH(Du_Lieu[[#This Row],[Date]])</f>
        <v>Tháng 6</v>
      </c>
      <c r="J140" s="12">
        <f t="shared" si="6"/>
        <v>401.883561643836</v>
      </c>
      <c r="K140" s="12" t="str">
        <f t="shared" si="7"/>
        <v>OTHER</v>
      </c>
      <c r="L140" s="13">
        <f t="shared" si="8"/>
        <v>0.166666666666667</v>
      </c>
      <c r="M140" s="15"/>
      <c r="N140" s="7">
        <f>COUNTIF(F:F,Du_Lieu[[#This Row],[Invoice]])</f>
        <v>2</v>
      </c>
    </row>
    <row r="141" spans="1:14">
      <c r="A141" s="10">
        <v>44372</v>
      </c>
      <c r="B141" s="7" t="s">
        <v>44</v>
      </c>
      <c r="C141" s="7" t="s">
        <v>59</v>
      </c>
      <c r="D141" s="7" t="s">
        <v>289</v>
      </c>
      <c r="E141" s="7" t="s">
        <v>361</v>
      </c>
      <c r="F141" s="7" t="s">
        <v>362</v>
      </c>
      <c r="G141" s="11">
        <v>1</v>
      </c>
      <c r="H141" s="11">
        <v>6229000</v>
      </c>
      <c r="I141" s="11" t="str">
        <f>"Tháng"&amp;" "&amp;MONTH(Du_Lieu[[#This Row],[Date]])</f>
        <v>Tháng 6</v>
      </c>
      <c r="J141" s="12">
        <f t="shared" si="6"/>
        <v>266.652397260274</v>
      </c>
      <c r="K141" s="12" t="str">
        <f t="shared" si="7"/>
        <v>OTHER</v>
      </c>
      <c r="L141" s="13">
        <f t="shared" si="8"/>
        <v>1</v>
      </c>
      <c r="M141" s="15"/>
      <c r="N141" s="7">
        <f>COUNTIF(F:F,Du_Lieu[[#This Row],[Invoice]])</f>
        <v>1</v>
      </c>
    </row>
    <row r="142" spans="1:14">
      <c r="A142" s="10">
        <v>44373</v>
      </c>
      <c r="B142" s="7" t="s">
        <v>44</v>
      </c>
      <c r="C142" s="7" t="s">
        <v>59</v>
      </c>
      <c r="D142" s="7" t="s">
        <v>363</v>
      </c>
      <c r="E142" s="7" t="s">
        <v>364</v>
      </c>
      <c r="F142" s="7" t="s">
        <v>365</v>
      </c>
      <c r="G142" s="11">
        <v>1</v>
      </c>
      <c r="H142" s="11">
        <v>11554000</v>
      </c>
      <c r="I142" s="11" t="str">
        <f>"Tháng"&amp;" "&amp;MONTH(Du_Lieu[[#This Row],[Date]])</f>
        <v>Tháng 6</v>
      </c>
      <c r="J142" s="12">
        <f t="shared" si="6"/>
        <v>494.606164383562</v>
      </c>
      <c r="K142" s="12" t="str">
        <f t="shared" si="7"/>
        <v>OTHER</v>
      </c>
      <c r="L142" s="13">
        <f t="shared" si="8"/>
        <v>1</v>
      </c>
      <c r="M142" s="15"/>
      <c r="N142" s="7">
        <f>COUNTIF(F:F,Du_Lieu[[#This Row],[Invoice]])</f>
        <v>1</v>
      </c>
    </row>
    <row r="143" spans="1:14">
      <c r="A143" s="10">
        <v>44373</v>
      </c>
      <c r="B143" s="7" t="s">
        <v>44</v>
      </c>
      <c r="C143" s="7" t="s">
        <v>59</v>
      </c>
      <c r="D143" s="7" t="s">
        <v>366</v>
      </c>
      <c r="E143" s="7" t="s">
        <v>367</v>
      </c>
      <c r="F143" s="7" t="s">
        <v>368</v>
      </c>
      <c r="G143" s="11">
        <v>1</v>
      </c>
      <c r="H143" s="11">
        <v>5416000</v>
      </c>
      <c r="I143" s="11" t="str">
        <f>"Tháng"&amp;" "&amp;MONTH(Du_Lieu[[#This Row],[Date]])</f>
        <v>Tháng 6</v>
      </c>
      <c r="J143" s="12">
        <f t="shared" si="6"/>
        <v>231.849315068493</v>
      </c>
      <c r="K143" s="12" t="str">
        <f t="shared" si="7"/>
        <v>OTHER</v>
      </c>
      <c r="L143" s="13">
        <f t="shared" si="8"/>
        <v>1</v>
      </c>
      <c r="M143" s="15"/>
      <c r="N143" s="7">
        <f>COUNTIF(F:F,Du_Lieu[[#This Row],[Invoice]])</f>
        <v>1</v>
      </c>
    </row>
    <row r="144" spans="1:14">
      <c r="A144" s="10">
        <v>44373</v>
      </c>
      <c r="B144" s="7" t="s">
        <v>13</v>
      </c>
      <c r="C144" s="7" t="s">
        <v>59</v>
      </c>
      <c r="D144" s="7" t="s">
        <v>369</v>
      </c>
      <c r="E144" s="7" t="s">
        <v>370</v>
      </c>
      <c r="F144" s="7" t="s">
        <v>371</v>
      </c>
      <c r="G144" s="11">
        <v>1</v>
      </c>
      <c r="H144" s="11">
        <v>86652000</v>
      </c>
      <c r="I144" s="11" t="str">
        <f>"Tháng"&amp;" "&amp;MONTH(Du_Lieu[[#This Row],[Date]])</f>
        <v>Tháng 6</v>
      </c>
      <c r="J144" s="12">
        <f t="shared" si="6"/>
        <v>3709.41780821918</v>
      </c>
      <c r="K144" s="12" t="str">
        <f t="shared" si="7"/>
        <v>CLIENTELING OR CT</v>
      </c>
      <c r="L144" s="13">
        <f t="shared" si="8"/>
        <v>0.5</v>
      </c>
      <c r="M144" s="15"/>
      <c r="N144" s="7">
        <f>COUNTIF(F:F,Du_Lieu[[#This Row],[Invoice]])</f>
        <v>2</v>
      </c>
    </row>
    <row r="145" spans="1:14">
      <c r="A145" s="10">
        <v>44373</v>
      </c>
      <c r="B145" s="7" t="s">
        <v>13</v>
      </c>
      <c r="C145" s="7" t="s">
        <v>59</v>
      </c>
      <c r="D145" s="7" t="s">
        <v>372</v>
      </c>
      <c r="E145" s="7" t="s">
        <v>370</v>
      </c>
      <c r="F145" s="7" t="s">
        <v>371</v>
      </c>
      <c r="G145" s="11">
        <v>1</v>
      </c>
      <c r="H145" s="11">
        <v>86652000</v>
      </c>
      <c r="I145" s="11" t="str">
        <f>"Tháng"&amp;" "&amp;MONTH(Du_Lieu[[#This Row],[Date]])</f>
        <v>Tháng 6</v>
      </c>
      <c r="J145" s="12">
        <f t="shared" si="6"/>
        <v>3709.41780821918</v>
      </c>
      <c r="K145" s="12" t="str">
        <f t="shared" si="7"/>
        <v>CLIENTELING OR CT</v>
      </c>
      <c r="L145" s="13">
        <f t="shared" si="8"/>
        <v>0.5</v>
      </c>
      <c r="M145" s="15"/>
      <c r="N145" s="7">
        <f>COUNTIF(F:F,Du_Lieu[[#This Row],[Invoice]])</f>
        <v>2</v>
      </c>
    </row>
    <row r="146" spans="1:14">
      <c r="A146" s="10">
        <v>44373</v>
      </c>
      <c r="B146" s="7" t="s">
        <v>44</v>
      </c>
      <c r="C146" s="7" t="s">
        <v>59</v>
      </c>
      <c r="D146" s="7" t="s">
        <v>373</v>
      </c>
      <c r="E146" s="7" t="s">
        <v>374</v>
      </c>
      <c r="F146" s="7" t="s">
        <v>375</v>
      </c>
      <c r="G146" s="11">
        <v>1</v>
      </c>
      <c r="H146" s="11">
        <v>26176000</v>
      </c>
      <c r="I146" s="11" t="str">
        <f>"Tháng"&amp;" "&amp;MONTH(Du_Lieu[[#This Row],[Date]])</f>
        <v>Tháng 6</v>
      </c>
      <c r="J146" s="12">
        <f t="shared" si="6"/>
        <v>1120.54794520548</v>
      </c>
      <c r="K146" s="12" t="str">
        <f t="shared" si="7"/>
        <v>OTHER</v>
      </c>
      <c r="L146" s="13">
        <f t="shared" si="8"/>
        <v>1</v>
      </c>
      <c r="M146" s="15"/>
      <c r="N146" s="7">
        <f>COUNTIF(F:F,Du_Lieu[[#This Row],[Invoice]])</f>
        <v>1</v>
      </c>
    </row>
    <row r="147" spans="1:14">
      <c r="A147" s="10">
        <v>44374</v>
      </c>
      <c r="B147" s="7" t="s">
        <v>44</v>
      </c>
      <c r="C147" s="7" t="s">
        <v>59</v>
      </c>
      <c r="D147" s="7" t="s">
        <v>376</v>
      </c>
      <c r="E147" s="7" t="s">
        <v>377</v>
      </c>
      <c r="F147" s="7" t="s">
        <v>378</v>
      </c>
      <c r="G147" s="11">
        <v>1</v>
      </c>
      <c r="H147" s="11">
        <v>8485000</v>
      </c>
      <c r="I147" s="11" t="str">
        <f>"Tháng"&amp;" "&amp;MONTH(Du_Lieu[[#This Row],[Date]])</f>
        <v>Tháng 6</v>
      </c>
      <c r="J147" s="12">
        <f t="shared" si="6"/>
        <v>363.227739726027</v>
      </c>
      <c r="K147" s="12" t="str">
        <f t="shared" si="7"/>
        <v>OTHER</v>
      </c>
      <c r="L147" s="13">
        <f t="shared" si="8"/>
        <v>1</v>
      </c>
      <c r="M147" s="15"/>
      <c r="N147" s="7">
        <f>COUNTIF(F:F,Du_Lieu[[#This Row],[Invoice]])</f>
        <v>1</v>
      </c>
    </row>
    <row r="148" spans="1:14">
      <c r="A148" s="10">
        <v>44374</v>
      </c>
      <c r="B148" s="7" t="s">
        <v>44</v>
      </c>
      <c r="C148" s="7" t="s">
        <v>59</v>
      </c>
      <c r="D148" s="7" t="s">
        <v>278</v>
      </c>
      <c r="E148" s="7" t="s">
        <v>379</v>
      </c>
      <c r="F148" s="7" t="s">
        <v>380</v>
      </c>
      <c r="G148" s="11">
        <v>1</v>
      </c>
      <c r="H148" s="11">
        <v>5416000</v>
      </c>
      <c r="I148" s="11" t="str">
        <f>"Tháng"&amp;" "&amp;MONTH(Du_Lieu[[#This Row],[Date]])</f>
        <v>Tháng 6</v>
      </c>
      <c r="J148" s="12">
        <f t="shared" si="6"/>
        <v>231.849315068493</v>
      </c>
      <c r="K148" s="12" t="str">
        <f t="shared" si="7"/>
        <v>OTHER</v>
      </c>
      <c r="L148" s="13">
        <f t="shared" si="8"/>
        <v>0.333333333333333</v>
      </c>
      <c r="M148" s="15"/>
      <c r="N148" s="7">
        <f>COUNTIF(F:F,Du_Lieu[[#This Row],[Invoice]])</f>
        <v>3</v>
      </c>
    </row>
    <row r="149" spans="1:14">
      <c r="A149" s="10">
        <v>44374</v>
      </c>
      <c r="B149" s="7" t="s">
        <v>44</v>
      </c>
      <c r="C149" s="7" t="s">
        <v>59</v>
      </c>
      <c r="D149" s="7" t="s">
        <v>66</v>
      </c>
      <c r="E149" s="7" t="s">
        <v>379</v>
      </c>
      <c r="F149" s="7" t="s">
        <v>380</v>
      </c>
      <c r="G149" s="11">
        <v>1</v>
      </c>
      <c r="H149" s="11">
        <v>6229000</v>
      </c>
      <c r="I149" s="11" t="str">
        <f>"Tháng"&amp;" "&amp;MONTH(Du_Lieu[[#This Row],[Date]])</f>
        <v>Tháng 6</v>
      </c>
      <c r="J149" s="12">
        <f t="shared" si="6"/>
        <v>266.652397260274</v>
      </c>
      <c r="K149" s="12" t="str">
        <f t="shared" si="7"/>
        <v>OTHER</v>
      </c>
      <c r="L149" s="13">
        <f t="shared" si="8"/>
        <v>0.333333333333333</v>
      </c>
      <c r="M149" s="15"/>
      <c r="N149" s="7">
        <f>COUNTIF(F:F,Du_Lieu[[#This Row],[Invoice]])</f>
        <v>3</v>
      </c>
    </row>
    <row r="150" spans="1:14">
      <c r="A150" s="10">
        <v>44374</v>
      </c>
      <c r="B150" s="7" t="s">
        <v>44</v>
      </c>
      <c r="C150" s="7" t="s">
        <v>59</v>
      </c>
      <c r="D150" s="7" t="s">
        <v>159</v>
      </c>
      <c r="E150" s="7" t="s">
        <v>379</v>
      </c>
      <c r="F150" s="7" t="s">
        <v>380</v>
      </c>
      <c r="G150" s="11">
        <v>1</v>
      </c>
      <c r="H150" s="11">
        <v>5416000</v>
      </c>
      <c r="I150" s="11" t="str">
        <f>"Tháng"&amp;" "&amp;MONTH(Du_Lieu[[#This Row],[Date]])</f>
        <v>Tháng 6</v>
      </c>
      <c r="J150" s="12">
        <f t="shared" si="6"/>
        <v>231.849315068493</v>
      </c>
      <c r="K150" s="12" t="str">
        <f t="shared" si="7"/>
        <v>OTHER</v>
      </c>
      <c r="L150" s="13">
        <f t="shared" si="8"/>
        <v>0.333333333333333</v>
      </c>
      <c r="M150" s="15"/>
      <c r="N150" s="7">
        <f>COUNTIF(F:F,Du_Lieu[[#This Row],[Invoice]])</f>
        <v>3</v>
      </c>
    </row>
    <row r="151" spans="1:14">
      <c r="A151" s="10">
        <v>44374</v>
      </c>
      <c r="B151" s="7" t="s">
        <v>44</v>
      </c>
      <c r="C151" s="7" t="s">
        <v>59</v>
      </c>
      <c r="D151" s="7" t="s">
        <v>325</v>
      </c>
      <c r="E151" s="7" t="s">
        <v>381</v>
      </c>
      <c r="F151" s="7" t="s">
        <v>382</v>
      </c>
      <c r="G151" s="11">
        <v>1</v>
      </c>
      <c r="H151" s="11">
        <v>6229000</v>
      </c>
      <c r="I151" s="11" t="str">
        <f>"Tháng"&amp;" "&amp;MONTH(Du_Lieu[[#This Row],[Date]])</f>
        <v>Tháng 6</v>
      </c>
      <c r="J151" s="12">
        <f t="shared" si="6"/>
        <v>266.652397260274</v>
      </c>
      <c r="K151" s="12" t="str">
        <f t="shared" si="7"/>
        <v>OTHER</v>
      </c>
      <c r="L151" s="13">
        <f t="shared" si="8"/>
        <v>1</v>
      </c>
      <c r="M151" s="15"/>
      <c r="N151" s="7">
        <f>COUNTIF(F:F,Du_Lieu[[#This Row],[Invoice]])</f>
        <v>1</v>
      </c>
    </row>
    <row r="152" spans="1:14">
      <c r="A152" s="10">
        <v>44375</v>
      </c>
      <c r="B152" s="7" t="s">
        <v>13</v>
      </c>
      <c r="C152" s="7" t="s">
        <v>59</v>
      </c>
      <c r="D152" s="7" t="s">
        <v>383</v>
      </c>
      <c r="E152" s="7" t="s">
        <v>126</v>
      </c>
      <c r="F152" s="7" t="s">
        <v>384</v>
      </c>
      <c r="G152" s="11">
        <v>1</v>
      </c>
      <c r="H152" s="11">
        <v>15074000</v>
      </c>
      <c r="I152" s="11" t="str">
        <f>"Tháng"&amp;" "&amp;MONTH(Du_Lieu[[#This Row],[Date]])</f>
        <v>Tháng 6</v>
      </c>
      <c r="J152" s="12">
        <f t="shared" si="6"/>
        <v>645.291095890411</v>
      </c>
      <c r="K152" s="12" t="str">
        <f t="shared" si="7"/>
        <v>OTHER</v>
      </c>
      <c r="L152" s="13">
        <f t="shared" si="8"/>
        <v>0.1</v>
      </c>
      <c r="M152" s="15"/>
      <c r="N152" s="7">
        <f>COUNTIF(F:F,Du_Lieu[[#This Row],[Invoice]])</f>
        <v>2</v>
      </c>
    </row>
    <row r="153" spans="1:14">
      <c r="A153" s="10">
        <v>44375</v>
      </c>
      <c r="B153" s="7" t="s">
        <v>13</v>
      </c>
      <c r="C153" s="7" t="s">
        <v>59</v>
      </c>
      <c r="D153" s="7" t="s">
        <v>385</v>
      </c>
      <c r="E153" s="7" t="s">
        <v>126</v>
      </c>
      <c r="F153" s="7" t="s">
        <v>384</v>
      </c>
      <c r="G153" s="11">
        <v>1</v>
      </c>
      <c r="H153" s="11">
        <v>81236000</v>
      </c>
      <c r="I153" s="11" t="str">
        <f>"Tháng"&amp;" "&amp;MONTH(Du_Lieu[[#This Row],[Date]])</f>
        <v>Tháng 6</v>
      </c>
      <c r="J153" s="12">
        <f t="shared" si="6"/>
        <v>3477.56849315068</v>
      </c>
      <c r="K153" s="12" t="str">
        <f t="shared" si="7"/>
        <v>CLIENTELING OR CT</v>
      </c>
      <c r="L153" s="13">
        <f t="shared" si="8"/>
        <v>0.1</v>
      </c>
      <c r="M153" s="15"/>
      <c r="N153" s="7">
        <f>COUNTIF(F:F,Du_Lieu[[#This Row],[Invoice]])</f>
        <v>2</v>
      </c>
    </row>
    <row r="154" spans="1:14">
      <c r="A154" s="10">
        <v>44375</v>
      </c>
      <c r="B154" s="7" t="s">
        <v>13</v>
      </c>
      <c r="C154" s="7" t="s">
        <v>59</v>
      </c>
      <c r="D154" s="7" t="s">
        <v>386</v>
      </c>
      <c r="E154" s="7" t="s">
        <v>126</v>
      </c>
      <c r="F154" s="7" t="s">
        <v>387</v>
      </c>
      <c r="G154" s="11">
        <v>1</v>
      </c>
      <c r="H154" s="11">
        <v>43326000</v>
      </c>
      <c r="I154" s="11" t="str">
        <f>"Tháng"&amp;" "&amp;MONTH(Du_Lieu[[#This Row],[Date]])</f>
        <v>Tháng 6</v>
      </c>
      <c r="J154" s="12">
        <f t="shared" si="6"/>
        <v>1854.70890410959</v>
      </c>
      <c r="K154" s="12" t="str">
        <f t="shared" si="7"/>
        <v>OTHER</v>
      </c>
      <c r="L154" s="13">
        <f t="shared" si="8"/>
        <v>0.1</v>
      </c>
      <c r="M154" s="15"/>
      <c r="N154" s="7">
        <f>COUNTIF(F:F,Du_Lieu[[#This Row],[Invoice]])</f>
        <v>1</v>
      </c>
    </row>
    <row r="155" spans="1:14">
      <c r="A155" s="10">
        <v>44375</v>
      </c>
      <c r="B155" s="7" t="s">
        <v>13</v>
      </c>
      <c r="C155" s="7" t="s">
        <v>59</v>
      </c>
      <c r="D155" s="7" t="s">
        <v>106</v>
      </c>
      <c r="E155" s="7" t="s">
        <v>126</v>
      </c>
      <c r="F155" s="7" t="s">
        <v>388</v>
      </c>
      <c r="G155" s="11">
        <v>1</v>
      </c>
      <c r="H155" s="11">
        <v>6680000</v>
      </c>
      <c r="I155" s="11" t="str">
        <f>"Tháng"&amp;" "&amp;MONTH(Du_Lieu[[#This Row],[Date]])</f>
        <v>Tháng 6</v>
      </c>
      <c r="J155" s="12">
        <f t="shared" si="6"/>
        <v>285.958904109589</v>
      </c>
      <c r="K155" s="12" t="str">
        <f t="shared" si="7"/>
        <v>OTHER</v>
      </c>
      <c r="L155" s="13">
        <f t="shared" si="8"/>
        <v>0.1</v>
      </c>
      <c r="M155" s="15"/>
      <c r="N155" s="7">
        <f>COUNTIF(F:F,Du_Lieu[[#This Row],[Invoice]])</f>
        <v>2</v>
      </c>
    </row>
    <row r="156" spans="1:14">
      <c r="A156" s="10">
        <v>44375</v>
      </c>
      <c r="B156" s="7" t="s">
        <v>13</v>
      </c>
      <c r="C156" s="7" t="s">
        <v>59</v>
      </c>
      <c r="D156" s="7" t="s">
        <v>185</v>
      </c>
      <c r="E156" s="7" t="s">
        <v>126</v>
      </c>
      <c r="F156" s="7" t="s">
        <v>388</v>
      </c>
      <c r="G156" s="11">
        <v>1</v>
      </c>
      <c r="H156" s="11">
        <v>8124000</v>
      </c>
      <c r="I156" s="11" t="str">
        <f>"Tháng"&amp;" "&amp;MONTH(Du_Lieu[[#This Row],[Date]])</f>
        <v>Tháng 6</v>
      </c>
      <c r="J156" s="12">
        <f t="shared" si="6"/>
        <v>347.77397260274</v>
      </c>
      <c r="K156" s="12" t="str">
        <f t="shared" si="7"/>
        <v>OTHER</v>
      </c>
      <c r="L156" s="13">
        <f t="shared" si="8"/>
        <v>0.1</v>
      </c>
      <c r="M156" s="15"/>
      <c r="N156" s="7">
        <f>COUNTIF(F:F,Du_Lieu[[#This Row],[Invoice]])</f>
        <v>2</v>
      </c>
    </row>
    <row r="157" spans="1:14">
      <c r="A157" s="10">
        <v>44375</v>
      </c>
      <c r="B157" s="7" t="s">
        <v>44</v>
      </c>
      <c r="C157" s="7" t="s">
        <v>59</v>
      </c>
      <c r="D157" s="7" t="s">
        <v>389</v>
      </c>
      <c r="E157" s="7" t="s">
        <v>390</v>
      </c>
      <c r="F157" s="7" t="s">
        <v>391</v>
      </c>
      <c r="G157" s="11">
        <v>1</v>
      </c>
      <c r="H157" s="11">
        <v>5958000</v>
      </c>
      <c r="I157" s="11" t="str">
        <f>"Tháng"&amp;" "&amp;MONTH(Du_Lieu[[#This Row],[Date]])</f>
        <v>Tháng 6</v>
      </c>
      <c r="J157" s="12">
        <f t="shared" si="6"/>
        <v>255.051369863014</v>
      </c>
      <c r="K157" s="12" t="str">
        <f t="shared" si="7"/>
        <v>OTHER</v>
      </c>
      <c r="L157" s="13">
        <f t="shared" si="8"/>
        <v>1</v>
      </c>
      <c r="M157" s="15"/>
      <c r="N157" s="7">
        <f>COUNTIF(F:F,Du_Lieu[[#This Row],[Invoice]])</f>
        <v>1</v>
      </c>
    </row>
    <row r="158" spans="1:14">
      <c r="A158" s="10">
        <v>44376</v>
      </c>
      <c r="B158" s="7" t="s">
        <v>13</v>
      </c>
      <c r="C158" s="7" t="s">
        <v>59</v>
      </c>
      <c r="D158" s="7" t="s">
        <v>392</v>
      </c>
      <c r="E158" s="7" t="s">
        <v>393</v>
      </c>
      <c r="F158" s="7" t="s">
        <v>394</v>
      </c>
      <c r="G158" s="11">
        <v>1</v>
      </c>
      <c r="H158" s="11">
        <v>310501000</v>
      </c>
      <c r="I158" s="11" t="str">
        <f>"Tháng"&amp;" "&amp;MONTH(Du_Lieu[[#This Row],[Date]])</f>
        <v>Tháng 6</v>
      </c>
      <c r="J158" s="12">
        <f t="shared" si="6"/>
        <v>13291.9948630137</v>
      </c>
      <c r="K158" s="12" t="str">
        <f t="shared" si="7"/>
        <v>SILVER</v>
      </c>
      <c r="L158" s="13">
        <f t="shared" si="8"/>
        <v>0.333333333333333</v>
      </c>
      <c r="M158" s="15"/>
      <c r="N158" s="7">
        <f>COUNTIF(F:F,Du_Lieu[[#This Row],[Invoice]])</f>
        <v>2</v>
      </c>
    </row>
    <row r="159" spans="1:14">
      <c r="A159" s="10">
        <v>44376</v>
      </c>
      <c r="B159" s="7" t="s">
        <v>13</v>
      </c>
      <c r="C159" s="7" t="s">
        <v>59</v>
      </c>
      <c r="D159" s="7" t="s">
        <v>395</v>
      </c>
      <c r="E159" s="7" t="s">
        <v>393</v>
      </c>
      <c r="F159" s="7" t="s">
        <v>394</v>
      </c>
      <c r="G159" s="11">
        <v>1</v>
      </c>
      <c r="H159" s="11">
        <v>292448000</v>
      </c>
      <c r="I159" s="11" t="str">
        <f>"Tháng"&amp;" "&amp;MONTH(Du_Lieu[[#This Row],[Date]])</f>
        <v>Tháng 6</v>
      </c>
      <c r="J159" s="12">
        <f t="shared" si="6"/>
        <v>12519.1780821918</v>
      </c>
      <c r="K159" s="12" t="str">
        <f t="shared" si="7"/>
        <v>SILVER</v>
      </c>
      <c r="L159" s="13">
        <f t="shared" si="8"/>
        <v>0.333333333333333</v>
      </c>
      <c r="M159" s="15"/>
      <c r="N159" s="7">
        <f>COUNTIF(F:F,Du_Lieu[[#This Row],[Invoice]])</f>
        <v>2</v>
      </c>
    </row>
    <row r="160" spans="1:14">
      <c r="A160" s="10">
        <v>44376</v>
      </c>
      <c r="B160" s="7" t="s">
        <v>15</v>
      </c>
      <c r="C160" s="7" t="s">
        <v>59</v>
      </c>
      <c r="D160" s="7" t="s">
        <v>396</v>
      </c>
      <c r="E160" s="7" t="s">
        <v>397</v>
      </c>
      <c r="F160" s="7" t="s">
        <v>398</v>
      </c>
      <c r="G160" s="11">
        <v>1</v>
      </c>
      <c r="H160" s="11">
        <v>28884000</v>
      </c>
      <c r="I160" s="11" t="str">
        <f>"Tháng"&amp;" "&amp;MONTH(Du_Lieu[[#This Row],[Date]])</f>
        <v>Tháng 6</v>
      </c>
      <c r="J160" s="12">
        <f t="shared" si="6"/>
        <v>1236.47260273973</v>
      </c>
      <c r="K160" s="12" t="str">
        <f t="shared" si="7"/>
        <v>OTHER</v>
      </c>
      <c r="L160" s="13">
        <f t="shared" si="8"/>
        <v>1</v>
      </c>
      <c r="M160" s="15"/>
      <c r="N160" s="7">
        <f>COUNTIF(F:F,Du_Lieu[[#This Row],[Invoice]])</f>
        <v>1</v>
      </c>
    </row>
    <row r="161" spans="1:14">
      <c r="A161" s="10">
        <v>44376</v>
      </c>
      <c r="B161" s="7" t="s">
        <v>44</v>
      </c>
      <c r="C161" s="7" t="s">
        <v>59</v>
      </c>
      <c r="D161" s="7" t="s">
        <v>340</v>
      </c>
      <c r="E161" s="7" t="s">
        <v>399</v>
      </c>
      <c r="F161" s="7" t="s">
        <v>400</v>
      </c>
      <c r="G161" s="11">
        <v>1</v>
      </c>
      <c r="H161" s="11">
        <v>6229000</v>
      </c>
      <c r="I161" s="11" t="str">
        <f>"Tháng"&amp;" "&amp;MONTH(Du_Lieu[[#This Row],[Date]])</f>
        <v>Tháng 6</v>
      </c>
      <c r="J161" s="12">
        <f t="shared" si="6"/>
        <v>266.652397260274</v>
      </c>
      <c r="K161" s="12" t="str">
        <f t="shared" si="7"/>
        <v>OTHER</v>
      </c>
      <c r="L161" s="13">
        <f t="shared" si="8"/>
        <v>0.5</v>
      </c>
      <c r="M161" s="15"/>
      <c r="N161" s="7">
        <f>COUNTIF(F:F,Du_Lieu[[#This Row],[Invoice]])</f>
        <v>2</v>
      </c>
    </row>
    <row r="162" spans="1:14">
      <c r="A162" s="10">
        <v>44376</v>
      </c>
      <c r="B162" s="7" t="s">
        <v>44</v>
      </c>
      <c r="C162" s="7" t="s">
        <v>59</v>
      </c>
      <c r="D162" s="7" t="s">
        <v>325</v>
      </c>
      <c r="E162" s="7" t="s">
        <v>399</v>
      </c>
      <c r="F162" s="7" t="s">
        <v>400</v>
      </c>
      <c r="G162" s="11">
        <v>1</v>
      </c>
      <c r="H162" s="11">
        <v>6229000</v>
      </c>
      <c r="I162" s="11" t="str">
        <f>"Tháng"&amp;" "&amp;MONTH(Du_Lieu[[#This Row],[Date]])</f>
        <v>Tháng 6</v>
      </c>
      <c r="J162" s="12">
        <f t="shared" si="6"/>
        <v>266.652397260274</v>
      </c>
      <c r="K162" s="12" t="str">
        <f t="shared" si="7"/>
        <v>OTHER</v>
      </c>
      <c r="L162" s="13">
        <f t="shared" si="8"/>
        <v>0.5</v>
      </c>
      <c r="M162" s="15"/>
      <c r="N162" s="7">
        <f>COUNTIF(F:F,Du_Lieu[[#This Row],[Invoice]])</f>
        <v>2</v>
      </c>
    </row>
    <row r="163" spans="1:14">
      <c r="A163" s="10">
        <v>44376</v>
      </c>
      <c r="B163" s="7" t="s">
        <v>200</v>
      </c>
      <c r="C163" s="7" t="s">
        <v>59</v>
      </c>
      <c r="D163" s="7" t="s">
        <v>122</v>
      </c>
      <c r="E163" s="7" t="s">
        <v>401</v>
      </c>
      <c r="F163" s="7" t="s">
        <v>402</v>
      </c>
      <c r="G163" s="11">
        <v>1</v>
      </c>
      <c r="H163" s="11">
        <v>5416000</v>
      </c>
      <c r="I163" s="11" t="str">
        <f>"Tháng"&amp;" "&amp;MONTH(Du_Lieu[[#This Row],[Date]])</f>
        <v>Tháng 6</v>
      </c>
      <c r="J163" s="12">
        <f t="shared" si="6"/>
        <v>231.849315068493</v>
      </c>
      <c r="K163" s="12" t="str">
        <f t="shared" si="7"/>
        <v>OTHER</v>
      </c>
      <c r="L163" s="13">
        <f t="shared" si="8"/>
        <v>1</v>
      </c>
      <c r="M163" s="15"/>
      <c r="N163" s="7">
        <f>COUNTIF(F:F,Du_Lieu[[#This Row],[Invoice]])</f>
        <v>1</v>
      </c>
    </row>
    <row r="164" spans="1:14">
      <c r="A164" s="10">
        <v>44377</v>
      </c>
      <c r="B164" s="7" t="s">
        <v>44</v>
      </c>
      <c r="C164" s="7" t="s">
        <v>59</v>
      </c>
      <c r="D164" s="7" t="s">
        <v>403</v>
      </c>
      <c r="E164" s="7" t="s">
        <v>404</v>
      </c>
      <c r="F164" s="7" t="s">
        <v>405</v>
      </c>
      <c r="G164" s="11">
        <v>1</v>
      </c>
      <c r="H164" s="11">
        <v>26176000</v>
      </c>
      <c r="I164" s="11" t="str">
        <f>"Tháng"&amp;" "&amp;MONTH(Du_Lieu[[#This Row],[Date]])</f>
        <v>Tháng 6</v>
      </c>
      <c r="J164" s="12">
        <f t="shared" si="6"/>
        <v>1120.54794520548</v>
      </c>
      <c r="K164" s="12" t="str">
        <f t="shared" si="7"/>
        <v>OTHER</v>
      </c>
      <c r="L164" s="13">
        <f t="shared" si="8"/>
        <v>1</v>
      </c>
      <c r="M164" s="15"/>
      <c r="N164" s="7">
        <f>COUNTIF(F:F,Du_Lieu[[#This Row],[Invoice]])</f>
        <v>1</v>
      </c>
    </row>
    <row r="165" spans="1:14">
      <c r="A165" s="10">
        <v>44378</v>
      </c>
      <c r="B165" s="7" t="s">
        <v>13</v>
      </c>
      <c r="C165" s="7" t="s">
        <v>59</v>
      </c>
      <c r="D165" s="7" t="s">
        <v>406</v>
      </c>
      <c r="E165" s="7" t="s">
        <v>407</v>
      </c>
      <c r="F165" s="7" t="s">
        <v>408</v>
      </c>
      <c r="G165" s="11">
        <v>1</v>
      </c>
      <c r="H165" s="11">
        <v>209408000</v>
      </c>
      <c r="I165" s="11" t="str">
        <f>"Tháng"&amp;" "&amp;MONTH(Du_Lieu[[#This Row],[Date]])</f>
        <v>Tháng 7</v>
      </c>
      <c r="J165" s="12">
        <f t="shared" si="6"/>
        <v>8964.38356164384</v>
      </c>
      <c r="K165" s="12" t="str">
        <f t="shared" si="7"/>
        <v>CLIENTELING OR CT</v>
      </c>
      <c r="L165" s="13">
        <f t="shared" si="8"/>
        <v>0.5</v>
      </c>
      <c r="M165" s="15"/>
      <c r="N165" s="7">
        <f>COUNTIF(F:F,Du_Lieu[[#This Row],[Invoice]])</f>
        <v>1</v>
      </c>
    </row>
    <row r="166" spans="1:14">
      <c r="A166" s="10">
        <v>44378</v>
      </c>
      <c r="B166" s="7" t="s">
        <v>13</v>
      </c>
      <c r="C166" s="7" t="s">
        <v>59</v>
      </c>
      <c r="D166" s="7" t="s">
        <v>409</v>
      </c>
      <c r="E166" s="7" t="s">
        <v>410</v>
      </c>
      <c r="F166" s="7" t="s">
        <v>411</v>
      </c>
      <c r="G166" s="11">
        <v>1</v>
      </c>
      <c r="H166" s="11">
        <v>68599000</v>
      </c>
      <c r="I166" s="11" t="str">
        <f>"Tháng"&amp;" "&amp;MONTH(Du_Lieu[[#This Row],[Date]])</f>
        <v>Tháng 7</v>
      </c>
      <c r="J166" s="12">
        <f t="shared" si="6"/>
        <v>2936.60102739726</v>
      </c>
      <c r="K166" s="12" t="str">
        <f t="shared" si="7"/>
        <v>OTHER</v>
      </c>
      <c r="L166" s="13">
        <f t="shared" si="8"/>
        <v>0.5</v>
      </c>
      <c r="M166" s="15"/>
      <c r="N166" s="7">
        <f>COUNTIF(F:F,Du_Lieu[[#This Row],[Invoice]])</f>
        <v>2</v>
      </c>
    </row>
    <row r="167" spans="1:14">
      <c r="A167" s="10">
        <v>44378</v>
      </c>
      <c r="B167" s="7" t="s">
        <v>13</v>
      </c>
      <c r="C167" s="7" t="s">
        <v>59</v>
      </c>
      <c r="D167" s="7" t="s">
        <v>412</v>
      </c>
      <c r="E167" s="7" t="s">
        <v>410</v>
      </c>
      <c r="F167" s="7" t="s">
        <v>411</v>
      </c>
      <c r="G167" s="11">
        <v>1</v>
      </c>
      <c r="H167" s="11">
        <v>36105000</v>
      </c>
      <c r="I167" s="11" t="str">
        <f>"Tháng"&amp;" "&amp;MONTH(Du_Lieu[[#This Row],[Date]])</f>
        <v>Tháng 7</v>
      </c>
      <c r="J167" s="12">
        <f t="shared" si="6"/>
        <v>1545.59075342466</v>
      </c>
      <c r="K167" s="12" t="str">
        <f t="shared" si="7"/>
        <v>OTHER</v>
      </c>
      <c r="L167" s="13">
        <f t="shared" si="8"/>
        <v>0.5</v>
      </c>
      <c r="M167" s="15"/>
      <c r="N167" s="7">
        <f>COUNTIF(F:F,Du_Lieu[[#This Row],[Invoice]])</f>
        <v>2</v>
      </c>
    </row>
    <row r="168" spans="1:14">
      <c r="A168" s="10">
        <v>44378</v>
      </c>
      <c r="B168" s="7" t="s">
        <v>13</v>
      </c>
      <c r="C168" s="7" t="s">
        <v>59</v>
      </c>
      <c r="D168" s="7" t="s">
        <v>413</v>
      </c>
      <c r="E168" s="7" t="s">
        <v>414</v>
      </c>
      <c r="F168" s="7" t="s">
        <v>415</v>
      </c>
      <c r="G168" s="11">
        <v>1</v>
      </c>
      <c r="H168" s="11">
        <v>15526000</v>
      </c>
      <c r="I168" s="11" t="str">
        <f>"Tháng"&amp;" "&amp;MONTH(Du_Lieu[[#This Row],[Date]])</f>
        <v>Tháng 7</v>
      </c>
      <c r="J168" s="12">
        <f t="shared" si="6"/>
        <v>664.640410958904</v>
      </c>
      <c r="K168" s="12" t="str">
        <f t="shared" si="7"/>
        <v>OTHER</v>
      </c>
      <c r="L168" s="13">
        <f t="shared" si="8"/>
        <v>0.333333333333333</v>
      </c>
      <c r="M168" s="15"/>
      <c r="N168" s="7">
        <f>COUNTIF(F:F,Du_Lieu[[#This Row],[Invoice]])</f>
        <v>3</v>
      </c>
    </row>
    <row r="169" spans="1:14">
      <c r="A169" s="10">
        <v>44378</v>
      </c>
      <c r="B169" s="7" t="s">
        <v>13</v>
      </c>
      <c r="C169" s="7" t="s">
        <v>59</v>
      </c>
      <c r="D169" s="7" t="s">
        <v>416</v>
      </c>
      <c r="E169" s="7" t="s">
        <v>414</v>
      </c>
      <c r="F169" s="7" t="s">
        <v>415</v>
      </c>
      <c r="G169" s="11">
        <v>1</v>
      </c>
      <c r="H169" s="11">
        <v>7402000</v>
      </c>
      <c r="I169" s="11" t="str">
        <f>"Tháng"&amp;" "&amp;MONTH(Du_Lieu[[#This Row],[Date]])</f>
        <v>Tháng 7</v>
      </c>
      <c r="J169" s="12">
        <f t="shared" si="6"/>
        <v>316.866438356164</v>
      </c>
      <c r="K169" s="12" t="str">
        <f t="shared" si="7"/>
        <v>OTHER</v>
      </c>
      <c r="L169" s="13">
        <f t="shared" si="8"/>
        <v>0.333333333333333</v>
      </c>
      <c r="M169" s="15"/>
      <c r="N169" s="7">
        <f>COUNTIF(F:F,Du_Lieu[[#This Row],[Invoice]])</f>
        <v>3</v>
      </c>
    </row>
    <row r="170" spans="1:14">
      <c r="A170" s="10">
        <v>44378</v>
      </c>
      <c r="B170" s="7" t="s">
        <v>13</v>
      </c>
      <c r="C170" s="7" t="s">
        <v>59</v>
      </c>
      <c r="D170" s="7" t="s">
        <v>251</v>
      </c>
      <c r="E170" s="7" t="s">
        <v>414</v>
      </c>
      <c r="F170" s="7" t="s">
        <v>415</v>
      </c>
      <c r="G170" s="11">
        <v>1</v>
      </c>
      <c r="H170" s="11">
        <v>7402000</v>
      </c>
      <c r="I170" s="11" t="str">
        <f>"Tháng"&amp;" "&amp;MONTH(Du_Lieu[[#This Row],[Date]])</f>
        <v>Tháng 7</v>
      </c>
      <c r="J170" s="12">
        <f t="shared" si="6"/>
        <v>316.866438356164</v>
      </c>
      <c r="K170" s="12" t="str">
        <f t="shared" si="7"/>
        <v>OTHER</v>
      </c>
      <c r="L170" s="13">
        <f t="shared" si="8"/>
        <v>0.333333333333333</v>
      </c>
      <c r="M170" s="15"/>
      <c r="N170" s="7">
        <f>COUNTIF(F:F,Du_Lieu[[#This Row],[Invoice]])</f>
        <v>3</v>
      </c>
    </row>
    <row r="171" spans="1:14">
      <c r="A171" s="10">
        <v>44380</v>
      </c>
      <c r="B171" s="7" t="s">
        <v>44</v>
      </c>
      <c r="C171" s="7" t="s">
        <v>59</v>
      </c>
      <c r="D171" s="7" t="s">
        <v>417</v>
      </c>
      <c r="E171" s="7" t="s">
        <v>418</v>
      </c>
      <c r="F171" s="7" t="s">
        <v>419</v>
      </c>
      <c r="G171" s="11">
        <v>1</v>
      </c>
      <c r="H171" s="11">
        <v>6951000</v>
      </c>
      <c r="I171" s="11" t="str">
        <f>"Tháng"&amp;" "&amp;MONTH(Du_Lieu[[#This Row],[Date]])</f>
        <v>Tháng 7</v>
      </c>
      <c r="J171" s="12">
        <f t="shared" si="6"/>
        <v>297.559931506849</v>
      </c>
      <c r="K171" s="12" t="str">
        <f t="shared" si="7"/>
        <v>OTHER</v>
      </c>
      <c r="L171" s="13">
        <f t="shared" si="8"/>
        <v>1</v>
      </c>
      <c r="M171" s="15"/>
      <c r="N171" s="7">
        <f>COUNTIF(F:F,Du_Lieu[[#This Row],[Invoice]])</f>
        <v>1</v>
      </c>
    </row>
    <row r="172" spans="1:14">
      <c r="A172" s="10">
        <v>44380</v>
      </c>
      <c r="B172" s="7" t="s">
        <v>15</v>
      </c>
      <c r="C172" s="7" t="s">
        <v>59</v>
      </c>
      <c r="D172" s="7" t="s">
        <v>207</v>
      </c>
      <c r="E172" s="7" t="s">
        <v>420</v>
      </c>
      <c r="F172" s="7" t="s">
        <v>421</v>
      </c>
      <c r="G172" s="11">
        <v>1</v>
      </c>
      <c r="H172" s="11">
        <v>31592000</v>
      </c>
      <c r="I172" s="11" t="str">
        <f>"Tháng"&amp;" "&amp;MONTH(Du_Lieu[[#This Row],[Date]])</f>
        <v>Tháng 7</v>
      </c>
      <c r="J172" s="12">
        <f t="shared" si="6"/>
        <v>1352.39726027397</v>
      </c>
      <c r="K172" s="12" t="str">
        <f t="shared" si="7"/>
        <v>OTHER</v>
      </c>
      <c r="L172" s="13">
        <f t="shared" si="8"/>
        <v>1</v>
      </c>
      <c r="M172" s="15"/>
      <c r="N172" s="7">
        <f>COUNTIF(F:F,Du_Lieu[[#This Row],[Invoice]])</f>
        <v>1</v>
      </c>
    </row>
    <row r="173" spans="1:14">
      <c r="A173" s="10">
        <v>44380</v>
      </c>
      <c r="B173" s="7" t="s">
        <v>15</v>
      </c>
      <c r="C173" s="7" t="s">
        <v>59</v>
      </c>
      <c r="D173" s="7" t="s">
        <v>422</v>
      </c>
      <c r="E173" s="7" t="s">
        <v>423</v>
      </c>
      <c r="F173" s="7" t="s">
        <v>424</v>
      </c>
      <c r="G173" s="11">
        <v>1</v>
      </c>
      <c r="H173" s="11">
        <v>86652000</v>
      </c>
      <c r="I173" s="11" t="str">
        <f>"Tháng"&amp;" "&amp;MONTH(Du_Lieu[[#This Row],[Date]])</f>
        <v>Tháng 7</v>
      </c>
      <c r="J173" s="12">
        <f t="shared" si="6"/>
        <v>3709.41780821918</v>
      </c>
      <c r="K173" s="12" t="str">
        <f t="shared" si="7"/>
        <v>CLIENTELING OR CT</v>
      </c>
      <c r="L173" s="13">
        <f t="shared" si="8"/>
        <v>0.5</v>
      </c>
      <c r="M173" s="15"/>
      <c r="N173" s="7">
        <f>COUNTIF(F:F,Du_Lieu[[#This Row],[Invoice]])</f>
        <v>2</v>
      </c>
    </row>
    <row r="174" spans="1:14">
      <c r="A174" s="10">
        <v>44380</v>
      </c>
      <c r="B174" s="7" t="s">
        <v>15</v>
      </c>
      <c r="C174" s="7" t="s">
        <v>59</v>
      </c>
      <c r="D174" s="7" t="s">
        <v>425</v>
      </c>
      <c r="E174" s="7" t="s">
        <v>423</v>
      </c>
      <c r="F174" s="7" t="s">
        <v>424</v>
      </c>
      <c r="G174" s="11">
        <v>1</v>
      </c>
      <c r="H174" s="11">
        <v>43326000</v>
      </c>
      <c r="I174" s="11" t="str">
        <f>"Tháng"&amp;" "&amp;MONTH(Du_Lieu[[#This Row],[Date]])</f>
        <v>Tháng 7</v>
      </c>
      <c r="J174" s="12">
        <f t="shared" si="6"/>
        <v>1854.70890410959</v>
      </c>
      <c r="K174" s="12" t="str">
        <f t="shared" si="7"/>
        <v>OTHER</v>
      </c>
      <c r="L174" s="13">
        <f t="shared" si="8"/>
        <v>0.5</v>
      </c>
      <c r="M174" s="15"/>
      <c r="N174" s="7">
        <f>COUNTIF(F:F,Du_Lieu[[#This Row],[Invoice]])</f>
        <v>2</v>
      </c>
    </row>
    <row r="175" spans="1:14">
      <c r="A175" s="10">
        <v>44380</v>
      </c>
      <c r="B175" s="7" t="s">
        <v>44</v>
      </c>
      <c r="C175" s="7" t="s">
        <v>59</v>
      </c>
      <c r="D175" s="7" t="s">
        <v>426</v>
      </c>
      <c r="E175" s="7" t="s">
        <v>427</v>
      </c>
      <c r="F175" s="7" t="s">
        <v>428</v>
      </c>
      <c r="G175" s="11">
        <v>1</v>
      </c>
      <c r="H175" s="11">
        <v>6229000</v>
      </c>
      <c r="I175" s="11" t="str">
        <f>"Tháng"&amp;" "&amp;MONTH(Du_Lieu[[#This Row],[Date]])</f>
        <v>Tháng 7</v>
      </c>
      <c r="J175" s="12">
        <f t="shared" si="6"/>
        <v>266.652397260274</v>
      </c>
      <c r="K175" s="12" t="str">
        <f t="shared" si="7"/>
        <v>OTHER</v>
      </c>
      <c r="L175" s="13">
        <f t="shared" si="8"/>
        <v>1</v>
      </c>
      <c r="M175" s="15"/>
      <c r="N175" s="7">
        <f>COUNTIF(F:F,Du_Lieu[[#This Row],[Invoice]])</f>
        <v>1</v>
      </c>
    </row>
    <row r="176" spans="1:14">
      <c r="A176" s="10">
        <v>44380</v>
      </c>
      <c r="B176" s="7" t="s">
        <v>13</v>
      </c>
      <c r="C176" s="7" t="s">
        <v>59</v>
      </c>
      <c r="D176" s="7" t="s">
        <v>429</v>
      </c>
      <c r="E176" s="7" t="s">
        <v>430</v>
      </c>
      <c r="F176" s="7" t="s">
        <v>431</v>
      </c>
      <c r="G176" s="11">
        <v>1</v>
      </c>
      <c r="H176" s="11">
        <v>685989000</v>
      </c>
      <c r="I176" s="11" t="str">
        <f>"Tháng"&amp;" "&amp;MONTH(Du_Lieu[[#This Row],[Date]])</f>
        <v>Tháng 7</v>
      </c>
      <c r="J176" s="12">
        <f t="shared" si="6"/>
        <v>29365.9674657534</v>
      </c>
      <c r="K176" s="12" t="str">
        <f t="shared" si="7"/>
        <v>GOLD</v>
      </c>
      <c r="L176" s="13">
        <f t="shared" si="8"/>
        <v>1</v>
      </c>
      <c r="M176" s="15"/>
      <c r="N176" s="7">
        <f>COUNTIF(F:F,Du_Lieu[[#This Row],[Invoice]])</f>
        <v>1</v>
      </c>
    </row>
    <row r="177" spans="1:14">
      <c r="A177" s="10">
        <v>44380</v>
      </c>
      <c r="B177" s="7" t="s">
        <v>44</v>
      </c>
      <c r="C177" s="7" t="s">
        <v>59</v>
      </c>
      <c r="D177" s="7" t="s">
        <v>432</v>
      </c>
      <c r="E177" s="7" t="s">
        <v>433</v>
      </c>
      <c r="F177" s="7" t="s">
        <v>434</v>
      </c>
      <c r="G177" s="11">
        <v>1</v>
      </c>
      <c r="H177" s="11">
        <v>56865000</v>
      </c>
      <c r="I177" s="11" t="str">
        <f>"Tháng"&amp;" "&amp;MONTH(Du_Lieu[[#This Row],[Date]])</f>
        <v>Tháng 7</v>
      </c>
      <c r="J177" s="12">
        <f t="shared" si="6"/>
        <v>2434.28938356164</v>
      </c>
      <c r="K177" s="12" t="str">
        <f t="shared" si="7"/>
        <v>OTHER</v>
      </c>
      <c r="L177" s="13">
        <f t="shared" si="8"/>
        <v>1</v>
      </c>
      <c r="M177" s="15"/>
      <c r="N177" s="7">
        <f>COUNTIF(F:F,Du_Lieu[[#This Row],[Invoice]])</f>
        <v>1</v>
      </c>
    </row>
    <row r="178" spans="1:14">
      <c r="A178" s="10">
        <v>44381</v>
      </c>
      <c r="B178" s="7" t="s">
        <v>44</v>
      </c>
      <c r="C178" s="7" t="s">
        <v>59</v>
      </c>
      <c r="D178" s="7" t="s">
        <v>340</v>
      </c>
      <c r="E178" s="7" t="s">
        <v>435</v>
      </c>
      <c r="F178" s="7" t="s">
        <v>436</v>
      </c>
      <c r="G178" s="11">
        <v>1</v>
      </c>
      <c r="H178" s="11">
        <v>6229000</v>
      </c>
      <c r="I178" s="11" t="str">
        <f>"Tháng"&amp;" "&amp;MONTH(Du_Lieu[[#This Row],[Date]])</f>
        <v>Tháng 7</v>
      </c>
      <c r="J178" s="12">
        <f t="shared" si="6"/>
        <v>266.652397260274</v>
      </c>
      <c r="K178" s="12" t="str">
        <f t="shared" si="7"/>
        <v>OTHER</v>
      </c>
      <c r="L178" s="13">
        <f t="shared" si="8"/>
        <v>1</v>
      </c>
      <c r="M178" s="15"/>
      <c r="N178" s="7">
        <f>COUNTIF(F:F,Du_Lieu[[#This Row],[Invoice]])</f>
        <v>1</v>
      </c>
    </row>
    <row r="179" spans="1:14">
      <c r="A179" s="10">
        <v>44381</v>
      </c>
      <c r="B179" s="7" t="s">
        <v>13</v>
      </c>
      <c r="C179" s="7" t="s">
        <v>59</v>
      </c>
      <c r="D179" s="7" t="s">
        <v>437</v>
      </c>
      <c r="E179" s="7" t="s">
        <v>438</v>
      </c>
      <c r="F179" s="7" t="s">
        <v>439</v>
      </c>
      <c r="G179" s="11">
        <v>1</v>
      </c>
      <c r="H179" s="11">
        <v>43326000</v>
      </c>
      <c r="I179" s="11" t="str">
        <f>"Tháng"&amp;" "&amp;MONTH(Du_Lieu[[#This Row],[Date]])</f>
        <v>Tháng 7</v>
      </c>
      <c r="J179" s="12">
        <f t="shared" si="6"/>
        <v>1854.70890410959</v>
      </c>
      <c r="K179" s="12" t="str">
        <f t="shared" si="7"/>
        <v>OTHER</v>
      </c>
      <c r="L179" s="13">
        <f t="shared" si="8"/>
        <v>0.333333333333333</v>
      </c>
      <c r="M179" s="15"/>
      <c r="N179" s="7">
        <f>COUNTIF(F:F,Du_Lieu[[#This Row],[Invoice]])</f>
        <v>3</v>
      </c>
    </row>
    <row r="180" spans="1:14">
      <c r="A180" s="10">
        <v>44381</v>
      </c>
      <c r="B180" s="7" t="s">
        <v>13</v>
      </c>
      <c r="C180" s="7" t="s">
        <v>59</v>
      </c>
      <c r="D180" s="7" t="s">
        <v>440</v>
      </c>
      <c r="E180" s="7" t="s">
        <v>438</v>
      </c>
      <c r="F180" s="7" t="s">
        <v>439</v>
      </c>
      <c r="G180" s="11">
        <v>1</v>
      </c>
      <c r="H180" s="11">
        <v>7402000</v>
      </c>
      <c r="I180" s="11" t="str">
        <f>"Tháng"&amp;" "&amp;MONTH(Du_Lieu[[#This Row],[Date]])</f>
        <v>Tháng 7</v>
      </c>
      <c r="J180" s="12">
        <f t="shared" si="6"/>
        <v>316.866438356164</v>
      </c>
      <c r="K180" s="12" t="str">
        <f t="shared" si="7"/>
        <v>OTHER</v>
      </c>
      <c r="L180" s="13">
        <f t="shared" si="8"/>
        <v>0.333333333333333</v>
      </c>
      <c r="M180" s="15"/>
      <c r="N180" s="7">
        <f>COUNTIF(F:F,Du_Lieu[[#This Row],[Invoice]])</f>
        <v>3</v>
      </c>
    </row>
    <row r="181" spans="1:14">
      <c r="A181" s="10">
        <v>44381</v>
      </c>
      <c r="B181" s="7" t="s">
        <v>13</v>
      </c>
      <c r="C181" s="7" t="s">
        <v>59</v>
      </c>
      <c r="D181" s="7" t="s">
        <v>441</v>
      </c>
      <c r="E181" s="7" t="s">
        <v>438</v>
      </c>
      <c r="F181" s="7" t="s">
        <v>439</v>
      </c>
      <c r="G181" s="11">
        <v>1</v>
      </c>
      <c r="H181" s="11">
        <v>62281000</v>
      </c>
      <c r="I181" s="11" t="str">
        <f>"Tháng"&amp;" "&amp;MONTH(Du_Lieu[[#This Row],[Date]])</f>
        <v>Tháng 7</v>
      </c>
      <c r="J181" s="12">
        <f t="shared" si="6"/>
        <v>2666.13869863014</v>
      </c>
      <c r="K181" s="12" t="str">
        <f t="shared" si="7"/>
        <v>OTHER</v>
      </c>
      <c r="L181" s="13">
        <f t="shared" si="8"/>
        <v>0.333333333333333</v>
      </c>
      <c r="M181" s="15"/>
      <c r="N181" s="7">
        <f>COUNTIF(F:F,Du_Lieu[[#This Row],[Invoice]])</f>
        <v>3</v>
      </c>
    </row>
    <row r="182" spans="1:14">
      <c r="A182" s="10">
        <v>44382</v>
      </c>
      <c r="B182" s="7" t="s">
        <v>13</v>
      </c>
      <c r="C182" s="7" t="s">
        <v>59</v>
      </c>
      <c r="D182" s="7" t="s">
        <v>442</v>
      </c>
      <c r="E182" s="7" t="s">
        <v>443</v>
      </c>
      <c r="F182" s="7" t="s">
        <v>444</v>
      </c>
      <c r="G182" s="11">
        <v>1</v>
      </c>
      <c r="H182" s="11">
        <v>17240000</v>
      </c>
      <c r="I182" s="11" t="str">
        <f>"Tháng"&amp;" "&amp;MONTH(Du_Lieu[[#This Row],[Date]])</f>
        <v>Tháng 7</v>
      </c>
      <c r="J182" s="12">
        <f t="shared" si="6"/>
        <v>738.013698630137</v>
      </c>
      <c r="K182" s="12" t="str">
        <f t="shared" si="7"/>
        <v>OTHER</v>
      </c>
      <c r="L182" s="13">
        <f t="shared" si="8"/>
        <v>0.333333333333333</v>
      </c>
      <c r="M182" s="15"/>
      <c r="N182" s="7">
        <f>COUNTIF(F:F,Du_Lieu[[#This Row],[Invoice]])</f>
        <v>1</v>
      </c>
    </row>
    <row r="183" spans="1:14">
      <c r="A183" s="10">
        <v>44382</v>
      </c>
      <c r="B183" s="7" t="s">
        <v>13</v>
      </c>
      <c r="C183" s="7" t="s">
        <v>59</v>
      </c>
      <c r="D183" s="7" t="s">
        <v>445</v>
      </c>
      <c r="E183" s="7" t="s">
        <v>443</v>
      </c>
      <c r="F183" s="7" t="s">
        <v>446</v>
      </c>
      <c r="G183" s="11">
        <v>1</v>
      </c>
      <c r="H183" s="11">
        <v>65892000</v>
      </c>
      <c r="I183" s="11" t="str">
        <f>"Tháng"&amp;" "&amp;MONTH(Du_Lieu[[#This Row],[Date]])</f>
        <v>Tháng 7</v>
      </c>
      <c r="J183" s="12">
        <f t="shared" si="6"/>
        <v>2820.71917808219</v>
      </c>
      <c r="K183" s="12" t="str">
        <f t="shared" si="7"/>
        <v>OTHER</v>
      </c>
      <c r="L183" s="13">
        <f t="shared" si="8"/>
        <v>0.333333333333333</v>
      </c>
      <c r="M183" s="15"/>
      <c r="N183" s="7">
        <f>COUNTIF(F:F,Du_Lieu[[#This Row],[Invoice]])</f>
        <v>2</v>
      </c>
    </row>
    <row r="184" spans="1:14">
      <c r="A184" s="10">
        <v>44382</v>
      </c>
      <c r="B184" s="7" t="s">
        <v>13</v>
      </c>
      <c r="C184" s="7" t="s">
        <v>59</v>
      </c>
      <c r="D184" s="7" t="s">
        <v>447</v>
      </c>
      <c r="E184" s="7" t="s">
        <v>443</v>
      </c>
      <c r="F184" s="7" t="s">
        <v>446</v>
      </c>
      <c r="G184" s="11">
        <v>1</v>
      </c>
      <c r="H184" s="11">
        <v>51450000</v>
      </c>
      <c r="I184" s="11" t="str">
        <f>"Tháng"&amp;" "&amp;MONTH(Du_Lieu[[#This Row],[Date]])</f>
        <v>Tháng 7</v>
      </c>
      <c r="J184" s="12">
        <f t="shared" si="6"/>
        <v>2202.48287671233</v>
      </c>
      <c r="K184" s="12" t="str">
        <f t="shared" si="7"/>
        <v>OTHER</v>
      </c>
      <c r="L184" s="13">
        <f t="shared" si="8"/>
        <v>0.333333333333333</v>
      </c>
      <c r="M184" s="15"/>
      <c r="N184" s="7">
        <f>COUNTIF(F:F,Du_Lieu[[#This Row],[Invoice]])</f>
        <v>2</v>
      </c>
    </row>
    <row r="185" spans="1:14">
      <c r="A185" s="10">
        <v>44384</v>
      </c>
      <c r="B185" s="7" t="s">
        <v>13</v>
      </c>
      <c r="C185" s="7" t="s">
        <v>59</v>
      </c>
      <c r="D185" s="7" t="s">
        <v>448</v>
      </c>
      <c r="E185" s="7" t="s">
        <v>449</v>
      </c>
      <c r="F185" s="7" t="s">
        <v>450</v>
      </c>
      <c r="G185" s="11">
        <v>1</v>
      </c>
      <c r="H185" s="11">
        <v>223849000</v>
      </c>
      <c r="I185" s="11" t="str">
        <f>"Tháng"&amp;" "&amp;MONTH(Du_Lieu[[#This Row],[Date]])</f>
        <v>Tháng 7</v>
      </c>
      <c r="J185" s="12">
        <f t="shared" si="6"/>
        <v>9582.57705479452</v>
      </c>
      <c r="K185" s="12" t="str">
        <f t="shared" si="7"/>
        <v>CLIENTELING OR CT</v>
      </c>
      <c r="L185" s="13">
        <f t="shared" si="8"/>
        <v>1</v>
      </c>
      <c r="M185" s="15"/>
      <c r="N185" s="7">
        <f>COUNTIF(F:F,Du_Lieu[[#This Row],[Invoice]])</f>
        <v>1</v>
      </c>
    </row>
    <row r="186" spans="1:14">
      <c r="A186" s="10">
        <v>44385</v>
      </c>
      <c r="B186" s="7" t="s">
        <v>13</v>
      </c>
      <c r="C186" s="7" t="s">
        <v>59</v>
      </c>
      <c r="D186" s="7" t="s">
        <v>451</v>
      </c>
      <c r="E186" s="7" t="s">
        <v>452</v>
      </c>
      <c r="F186" s="7" t="s">
        <v>453</v>
      </c>
      <c r="G186" s="11">
        <v>1</v>
      </c>
      <c r="H186" s="11">
        <v>162472000</v>
      </c>
      <c r="I186" s="11" t="str">
        <f>"Tháng"&amp;" "&amp;MONTH(Du_Lieu[[#This Row],[Date]])</f>
        <v>Tháng 7</v>
      </c>
      <c r="J186" s="12">
        <f t="shared" si="6"/>
        <v>6955.13698630137</v>
      </c>
      <c r="K186" s="12" t="str">
        <f t="shared" si="7"/>
        <v>CLIENTELING OR CT</v>
      </c>
      <c r="L186" s="13">
        <f t="shared" si="8"/>
        <v>1</v>
      </c>
      <c r="M186" s="15"/>
      <c r="N186" s="7">
        <f>COUNTIF(F:F,Du_Lieu[[#This Row],[Invoice]])</f>
        <v>1</v>
      </c>
    </row>
    <row r="187" spans="1:14">
      <c r="A187" s="10">
        <v>44385</v>
      </c>
      <c r="B187" s="7" t="s">
        <v>44</v>
      </c>
      <c r="C187" s="7" t="s">
        <v>59</v>
      </c>
      <c r="D187" s="7" t="s">
        <v>60</v>
      </c>
      <c r="E187" s="7" t="s">
        <v>454</v>
      </c>
      <c r="F187" s="7" t="s">
        <v>455</v>
      </c>
      <c r="G187" s="11">
        <v>1</v>
      </c>
      <c r="H187" s="11">
        <v>5416000</v>
      </c>
      <c r="I187" s="11" t="str">
        <f>"Tháng"&amp;" "&amp;MONTH(Du_Lieu[[#This Row],[Date]])</f>
        <v>Tháng 7</v>
      </c>
      <c r="J187" s="12">
        <f t="shared" si="6"/>
        <v>231.849315068493</v>
      </c>
      <c r="K187" s="12" t="str">
        <f t="shared" si="7"/>
        <v>OTHER</v>
      </c>
      <c r="L187" s="13">
        <f t="shared" si="8"/>
        <v>1</v>
      </c>
      <c r="M187" s="15"/>
      <c r="N187" s="7">
        <f>COUNTIF(F:F,Du_Lieu[[#This Row],[Invoice]])</f>
        <v>1</v>
      </c>
    </row>
    <row r="188" spans="1:14">
      <c r="A188" s="10">
        <v>44386</v>
      </c>
      <c r="B188" s="7" t="s">
        <v>44</v>
      </c>
      <c r="C188" s="7" t="s">
        <v>59</v>
      </c>
      <c r="D188" s="7" t="s">
        <v>456</v>
      </c>
      <c r="E188" s="7" t="s">
        <v>457</v>
      </c>
      <c r="F188" s="7" t="s">
        <v>458</v>
      </c>
      <c r="G188" s="11">
        <v>1</v>
      </c>
      <c r="H188" s="11">
        <v>79431000</v>
      </c>
      <c r="I188" s="11" t="str">
        <f>"Tháng"&amp;" "&amp;MONTH(Du_Lieu[[#This Row],[Date]])</f>
        <v>Tháng 7</v>
      </c>
      <c r="J188" s="12">
        <f t="shared" si="6"/>
        <v>3400.29965753425</v>
      </c>
      <c r="K188" s="12" t="str">
        <f t="shared" si="7"/>
        <v>CLIENTELING OR CT</v>
      </c>
      <c r="L188" s="13">
        <f t="shared" si="8"/>
        <v>1</v>
      </c>
      <c r="M188" s="15"/>
      <c r="N188" s="7">
        <f>COUNTIF(F:F,Du_Lieu[[#This Row],[Invoice]])</f>
        <v>1</v>
      </c>
    </row>
    <row r="189" spans="1:14">
      <c r="A189" s="10">
        <v>44386</v>
      </c>
      <c r="B189" s="7" t="s">
        <v>15</v>
      </c>
      <c r="C189" s="7" t="s">
        <v>59</v>
      </c>
      <c r="D189" s="7" t="s">
        <v>459</v>
      </c>
      <c r="E189" s="7" t="s">
        <v>329</v>
      </c>
      <c r="F189" s="7" t="s">
        <v>460</v>
      </c>
      <c r="G189" s="11">
        <v>1</v>
      </c>
      <c r="H189" s="11">
        <v>13179000</v>
      </c>
      <c r="I189" s="11" t="str">
        <f>"Tháng"&amp;" "&amp;MONTH(Du_Lieu[[#This Row],[Date]])</f>
        <v>Tháng 7</v>
      </c>
      <c r="J189" s="12">
        <f t="shared" si="6"/>
        <v>564.169520547945</v>
      </c>
      <c r="K189" s="12" t="str">
        <f t="shared" si="7"/>
        <v>OTHER</v>
      </c>
      <c r="L189" s="13">
        <f t="shared" si="8"/>
        <v>0.5</v>
      </c>
      <c r="M189" s="15"/>
      <c r="N189" s="7">
        <f>COUNTIF(F:F,Du_Lieu[[#This Row],[Invoice]])</f>
        <v>1</v>
      </c>
    </row>
    <row r="190" spans="1:14">
      <c r="A190" s="10">
        <v>44387</v>
      </c>
      <c r="B190" s="7" t="s">
        <v>44</v>
      </c>
      <c r="C190" s="7" t="s">
        <v>59</v>
      </c>
      <c r="D190" s="7" t="s">
        <v>340</v>
      </c>
      <c r="E190" s="7" t="s">
        <v>461</v>
      </c>
      <c r="F190" s="7" t="s">
        <v>462</v>
      </c>
      <c r="G190" s="11">
        <v>1</v>
      </c>
      <c r="H190" s="11">
        <v>6229000</v>
      </c>
      <c r="I190" s="11" t="str">
        <f>"Tháng"&amp;" "&amp;MONTH(Du_Lieu[[#This Row],[Date]])</f>
        <v>Tháng 7</v>
      </c>
      <c r="J190" s="12">
        <f t="shared" si="6"/>
        <v>266.652397260274</v>
      </c>
      <c r="K190" s="12" t="str">
        <f t="shared" si="7"/>
        <v>OTHER</v>
      </c>
      <c r="L190" s="13">
        <f t="shared" si="8"/>
        <v>1</v>
      </c>
      <c r="M190" s="15"/>
      <c r="N190" s="7">
        <f>COUNTIF(F:F,Du_Lieu[[#This Row],[Invoice]])</f>
        <v>1</v>
      </c>
    </row>
    <row r="191" spans="1:14">
      <c r="A191" s="10">
        <v>44387</v>
      </c>
      <c r="B191" s="7" t="s">
        <v>13</v>
      </c>
      <c r="C191" s="7" t="s">
        <v>59</v>
      </c>
      <c r="D191" s="7" t="s">
        <v>463</v>
      </c>
      <c r="E191" s="7" t="s">
        <v>464</v>
      </c>
      <c r="F191" s="7" t="s">
        <v>465</v>
      </c>
      <c r="G191" s="11">
        <v>1</v>
      </c>
      <c r="H191" s="11">
        <v>55060000</v>
      </c>
      <c r="I191" s="11" t="str">
        <f>"Tháng"&amp;" "&amp;MONTH(Du_Lieu[[#This Row],[Date]])</f>
        <v>Tháng 7</v>
      </c>
      <c r="J191" s="12">
        <f t="shared" si="6"/>
        <v>2357.02054794521</v>
      </c>
      <c r="K191" s="12" t="str">
        <f t="shared" si="7"/>
        <v>OTHER</v>
      </c>
      <c r="L191" s="13">
        <f t="shared" si="8"/>
        <v>1</v>
      </c>
      <c r="M191" s="15"/>
      <c r="N191" s="7">
        <f>COUNTIF(F:F,Du_Lieu[[#This Row],[Invoice]])</f>
        <v>1</v>
      </c>
    </row>
    <row r="192" spans="1:14">
      <c r="A192" s="10">
        <v>44387</v>
      </c>
      <c r="B192" s="7" t="s">
        <v>13</v>
      </c>
      <c r="C192" s="7" t="s">
        <v>59</v>
      </c>
      <c r="D192" s="7" t="s">
        <v>376</v>
      </c>
      <c r="E192" s="7" t="s">
        <v>466</v>
      </c>
      <c r="F192" s="7" t="s">
        <v>467</v>
      </c>
      <c r="G192" s="11">
        <v>1</v>
      </c>
      <c r="H192" s="11">
        <v>8485000</v>
      </c>
      <c r="I192" s="11" t="str">
        <f>"Tháng"&amp;" "&amp;MONTH(Du_Lieu[[#This Row],[Date]])</f>
        <v>Tháng 7</v>
      </c>
      <c r="J192" s="12">
        <f t="shared" si="6"/>
        <v>363.227739726027</v>
      </c>
      <c r="K192" s="12" t="str">
        <f t="shared" si="7"/>
        <v>OTHER</v>
      </c>
      <c r="L192" s="13">
        <f t="shared" si="8"/>
        <v>1</v>
      </c>
      <c r="M192" s="15"/>
      <c r="N192" s="7">
        <f>COUNTIF(F:F,Du_Lieu[[#This Row],[Invoice]])</f>
        <v>1</v>
      </c>
    </row>
    <row r="193" spans="1:14">
      <c r="A193" s="10">
        <v>44387</v>
      </c>
      <c r="B193" s="7" t="s">
        <v>44</v>
      </c>
      <c r="C193" s="7" t="s">
        <v>59</v>
      </c>
      <c r="D193" s="7" t="s">
        <v>468</v>
      </c>
      <c r="E193" s="7" t="s">
        <v>469</v>
      </c>
      <c r="F193" s="7" t="s">
        <v>470</v>
      </c>
      <c r="G193" s="11">
        <v>1</v>
      </c>
      <c r="H193" s="11">
        <v>26176000</v>
      </c>
      <c r="I193" s="11" t="str">
        <f>"Tháng"&amp;" "&amp;MONTH(Du_Lieu[[#This Row],[Date]])</f>
        <v>Tháng 7</v>
      </c>
      <c r="J193" s="12">
        <f t="shared" si="6"/>
        <v>1120.54794520548</v>
      </c>
      <c r="K193" s="12" t="str">
        <f t="shared" si="7"/>
        <v>OTHER</v>
      </c>
      <c r="L193" s="13">
        <f t="shared" si="8"/>
        <v>1</v>
      </c>
      <c r="M193" s="15"/>
      <c r="N193" s="7">
        <f>COUNTIF(F:F,Du_Lieu[[#This Row],[Invoice]])</f>
        <v>1</v>
      </c>
    </row>
    <row r="194" spans="1:14">
      <c r="A194" s="10">
        <v>44388</v>
      </c>
      <c r="B194" s="7" t="s">
        <v>15</v>
      </c>
      <c r="C194" s="7" t="s">
        <v>59</v>
      </c>
      <c r="D194" s="7" t="s">
        <v>471</v>
      </c>
      <c r="E194" s="7" t="s">
        <v>472</v>
      </c>
      <c r="F194" s="7" t="s">
        <v>473</v>
      </c>
      <c r="G194" s="11">
        <v>1</v>
      </c>
      <c r="H194" s="11">
        <v>68599000</v>
      </c>
      <c r="I194" s="11" t="str">
        <f>"Tháng"&amp;" "&amp;MONTH(Du_Lieu[[#This Row],[Date]])</f>
        <v>Tháng 7</v>
      </c>
      <c r="J194" s="12">
        <f t="shared" si="6"/>
        <v>2936.60102739726</v>
      </c>
      <c r="K194" s="12" t="str">
        <f t="shared" si="7"/>
        <v>OTHER</v>
      </c>
      <c r="L194" s="13">
        <f t="shared" si="8"/>
        <v>0.25</v>
      </c>
      <c r="M194" s="15"/>
      <c r="N194" s="7">
        <f>COUNTIF(F:F,Du_Lieu[[#This Row],[Invoice]])</f>
        <v>4</v>
      </c>
    </row>
    <row r="195" spans="1:14">
      <c r="A195" s="10">
        <v>44388</v>
      </c>
      <c r="B195" s="7" t="s">
        <v>15</v>
      </c>
      <c r="C195" s="7" t="s">
        <v>59</v>
      </c>
      <c r="D195" s="7" t="s">
        <v>474</v>
      </c>
      <c r="E195" s="7" t="s">
        <v>472</v>
      </c>
      <c r="F195" s="7" t="s">
        <v>473</v>
      </c>
      <c r="G195" s="11">
        <v>1</v>
      </c>
      <c r="H195" s="11">
        <v>56865000</v>
      </c>
      <c r="I195" s="11" t="str">
        <f>"Tháng"&amp;" "&amp;MONTH(Du_Lieu[[#This Row],[Date]])</f>
        <v>Tháng 7</v>
      </c>
      <c r="J195" s="12">
        <f t="shared" ref="J195:J258" si="9">H195/$M$2</f>
        <v>2434.28938356164</v>
      </c>
      <c r="K195" s="12" t="str">
        <f t="shared" ref="K195:K258" si="10">IF(J195&gt;50000,"PLATINUM",IF(AND(J195&gt;25000,J195&lt;50000),"GOLD",IF(AND(J195&gt;10000,J195&lt;25000),"SILVER",IF(AND(J195&gt;3000,J195&lt;10000),"CLIENTELING OR CT","OTHER"))))</f>
        <v>OTHER</v>
      </c>
      <c r="L195" s="13">
        <f t="shared" ref="L195:L258" si="11">1/COUNTIF(E:E,E195)</f>
        <v>0.25</v>
      </c>
      <c r="M195" s="15"/>
      <c r="N195" s="7">
        <f>COUNTIF(F:F,Du_Lieu[[#This Row],[Invoice]])</f>
        <v>4</v>
      </c>
    </row>
    <row r="196" spans="1:14">
      <c r="A196" s="10">
        <v>44388</v>
      </c>
      <c r="B196" s="7" t="s">
        <v>15</v>
      </c>
      <c r="C196" s="7" t="s">
        <v>59</v>
      </c>
      <c r="D196" s="7" t="s">
        <v>475</v>
      </c>
      <c r="E196" s="7" t="s">
        <v>472</v>
      </c>
      <c r="F196" s="7" t="s">
        <v>473</v>
      </c>
      <c r="G196" s="11">
        <v>1</v>
      </c>
      <c r="H196" s="11">
        <v>9388000</v>
      </c>
      <c r="I196" s="11" t="str">
        <f>"Tháng"&amp;" "&amp;MONTH(Du_Lieu[[#This Row],[Date]])</f>
        <v>Tháng 7</v>
      </c>
      <c r="J196" s="12">
        <f t="shared" si="9"/>
        <v>401.883561643836</v>
      </c>
      <c r="K196" s="12" t="str">
        <f t="shared" si="10"/>
        <v>OTHER</v>
      </c>
      <c r="L196" s="13">
        <f t="shared" si="11"/>
        <v>0.25</v>
      </c>
      <c r="M196" s="15"/>
      <c r="N196" s="7">
        <f>COUNTIF(F:F,Du_Lieu[[#This Row],[Invoice]])</f>
        <v>4</v>
      </c>
    </row>
    <row r="197" spans="1:14">
      <c r="A197" s="10">
        <v>44388</v>
      </c>
      <c r="B197" s="7" t="s">
        <v>15</v>
      </c>
      <c r="C197" s="7" t="s">
        <v>59</v>
      </c>
      <c r="D197" s="7" t="s">
        <v>278</v>
      </c>
      <c r="E197" s="7" t="s">
        <v>472</v>
      </c>
      <c r="F197" s="7" t="s">
        <v>473</v>
      </c>
      <c r="G197" s="11">
        <v>1</v>
      </c>
      <c r="H197" s="11">
        <v>5416000</v>
      </c>
      <c r="I197" s="11" t="str">
        <f>"Tháng"&amp;" "&amp;MONTH(Du_Lieu[[#This Row],[Date]])</f>
        <v>Tháng 7</v>
      </c>
      <c r="J197" s="12">
        <f t="shared" si="9"/>
        <v>231.849315068493</v>
      </c>
      <c r="K197" s="12" t="str">
        <f t="shared" si="10"/>
        <v>OTHER</v>
      </c>
      <c r="L197" s="13">
        <f t="shared" si="11"/>
        <v>0.25</v>
      </c>
      <c r="M197" s="15"/>
      <c r="N197" s="7">
        <f>COUNTIF(F:F,Du_Lieu[[#This Row],[Invoice]])</f>
        <v>4</v>
      </c>
    </row>
    <row r="198" spans="1:14">
      <c r="A198" s="10">
        <v>44388</v>
      </c>
      <c r="B198" s="7" t="s">
        <v>44</v>
      </c>
      <c r="C198" s="7" t="s">
        <v>59</v>
      </c>
      <c r="D198" s="7" t="s">
        <v>340</v>
      </c>
      <c r="E198" s="7" t="s">
        <v>476</v>
      </c>
      <c r="F198" s="7" t="s">
        <v>477</v>
      </c>
      <c r="G198" s="11">
        <v>1</v>
      </c>
      <c r="H198" s="11">
        <v>6229000</v>
      </c>
      <c r="I198" s="11" t="str">
        <f>"Tháng"&amp;" "&amp;MONTH(Du_Lieu[[#This Row],[Date]])</f>
        <v>Tháng 7</v>
      </c>
      <c r="J198" s="12">
        <f t="shared" si="9"/>
        <v>266.652397260274</v>
      </c>
      <c r="K198" s="12" t="str">
        <f t="shared" si="10"/>
        <v>OTHER</v>
      </c>
      <c r="L198" s="13">
        <f t="shared" si="11"/>
        <v>1</v>
      </c>
      <c r="M198" s="15"/>
      <c r="N198" s="7">
        <f>COUNTIF(F:F,Du_Lieu[[#This Row],[Invoice]])</f>
        <v>1</v>
      </c>
    </row>
    <row r="199" spans="1:14">
      <c r="A199" s="10">
        <v>44388</v>
      </c>
      <c r="B199" s="7" t="s">
        <v>263</v>
      </c>
      <c r="C199" s="7" t="s">
        <v>59</v>
      </c>
      <c r="D199" s="7" t="s">
        <v>478</v>
      </c>
      <c r="E199" s="7" t="s">
        <v>479</v>
      </c>
      <c r="F199" s="7" t="s">
        <v>480</v>
      </c>
      <c r="G199" s="11">
        <v>1</v>
      </c>
      <c r="H199" s="11">
        <v>19858000</v>
      </c>
      <c r="I199" s="11" t="str">
        <f>"Tháng"&amp;" "&amp;MONTH(Du_Lieu[[#This Row],[Date]])</f>
        <v>Tháng 7</v>
      </c>
      <c r="J199" s="12">
        <f t="shared" si="9"/>
        <v>850.085616438356</v>
      </c>
      <c r="K199" s="12" t="str">
        <f t="shared" si="10"/>
        <v>OTHER</v>
      </c>
      <c r="L199" s="13">
        <f t="shared" si="11"/>
        <v>1</v>
      </c>
      <c r="M199" s="15"/>
      <c r="N199" s="7">
        <f>COUNTIF(F:F,Du_Lieu[[#This Row],[Invoice]])</f>
        <v>1</v>
      </c>
    </row>
    <row r="200" spans="1:14">
      <c r="A200" s="10">
        <v>44388</v>
      </c>
      <c r="B200" s="7" t="s">
        <v>44</v>
      </c>
      <c r="C200" s="7" t="s">
        <v>59</v>
      </c>
      <c r="D200" s="7" t="s">
        <v>481</v>
      </c>
      <c r="E200" s="7" t="s">
        <v>482</v>
      </c>
      <c r="F200" s="7" t="s">
        <v>483</v>
      </c>
      <c r="G200" s="11">
        <v>1</v>
      </c>
      <c r="H200" s="11">
        <v>28884000</v>
      </c>
      <c r="I200" s="11" t="str">
        <f>"Tháng"&amp;" "&amp;MONTH(Du_Lieu[[#This Row],[Date]])</f>
        <v>Tháng 7</v>
      </c>
      <c r="J200" s="12">
        <f t="shared" si="9"/>
        <v>1236.47260273973</v>
      </c>
      <c r="K200" s="12" t="str">
        <f t="shared" si="10"/>
        <v>OTHER</v>
      </c>
      <c r="L200" s="13">
        <f t="shared" si="11"/>
        <v>1</v>
      </c>
      <c r="M200" s="15"/>
      <c r="N200" s="7">
        <f>COUNTIF(F:F,Du_Lieu[[#This Row],[Invoice]])</f>
        <v>1</v>
      </c>
    </row>
    <row r="201" spans="1:14">
      <c r="A201" s="10">
        <v>44388</v>
      </c>
      <c r="B201" s="7" t="s">
        <v>44</v>
      </c>
      <c r="C201" s="7" t="s">
        <v>59</v>
      </c>
      <c r="D201" s="7" t="s">
        <v>484</v>
      </c>
      <c r="E201" s="7" t="s">
        <v>485</v>
      </c>
      <c r="F201" s="7" t="s">
        <v>486</v>
      </c>
      <c r="G201" s="11">
        <v>1</v>
      </c>
      <c r="H201" s="11">
        <v>10832000</v>
      </c>
      <c r="I201" s="11" t="str">
        <f>"Tháng"&amp;" "&amp;MONTH(Du_Lieu[[#This Row],[Date]])</f>
        <v>Tháng 7</v>
      </c>
      <c r="J201" s="12">
        <f t="shared" si="9"/>
        <v>463.698630136986</v>
      </c>
      <c r="K201" s="12" t="str">
        <f t="shared" si="10"/>
        <v>OTHER</v>
      </c>
      <c r="L201" s="13">
        <f t="shared" si="11"/>
        <v>1</v>
      </c>
      <c r="M201" s="15"/>
      <c r="N201" s="7">
        <f>COUNTIF(F:F,Du_Lieu[[#This Row],[Invoice]])</f>
        <v>1</v>
      </c>
    </row>
    <row r="202" spans="1:14">
      <c r="A202" s="10">
        <v>44388</v>
      </c>
      <c r="B202" s="7" t="s">
        <v>15</v>
      </c>
      <c r="C202" s="7" t="s">
        <v>59</v>
      </c>
      <c r="D202" s="7" t="s">
        <v>487</v>
      </c>
      <c r="E202" s="7" t="s">
        <v>488</v>
      </c>
      <c r="F202" s="7" t="s">
        <v>489</v>
      </c>
      <c r="G202" s="11">
        <v>1</v>
      </c>
      <c r="H202" s="11">
        <v>7402000</v>
      </c>
      <c r="I202" s="11" t="str">
        <f>"Tháng"&amp;" "&amp;MONTH(Du_Lieu[[#This Row],[Date]])</f>
        <v>Tháng 7</v>
      </c>
      <c r="J202" s="12">
        <f t="shared" si="9"/>
        <v>316.866438356164</v>
      </c>
      <c r="K202" s="12" t="str">
        <f t="shared" si="10"/>
        <v>OTHER</v>
      </c>
      <c r="L202" s="13">
        <f t="shared" si="11"/>
        <v>0.5</v>
      </c>
      <c r="M202" s="15"/>
      <c r="N202" s="7">
        <f>COUNTIF(F:F,Du_Lieu[[#This Row],[Invoice]])</f>
        <v>2</v>
      </c>
    </row>
    <row r="203" spans="1:14">
      <c r="A203" s="10">
        <v>44388</v>
      </c>
      <c r="B203" s="7" t="s">
        <v>15</v>
      </c>
      <c r="C203" s="7" t="s">
        <v>59</v>
      </c>
      <c r="D203" s="7" t="s">
        <v>289</v>
      </c>
      <c r="E203" s="7" t="s">
        <v>488</v>
      </c>
      <c r="F203" s="7" t="s">
        <v>489</v>
      </c>
      <c r="G203" s="11">
        <v>1</v>
      </c>
      <c r="H203" s="11">
        <v>6229000</v>
      </c>
      <c r="I203" s="11" t="str">
        <f>"Tháng"&amp;" "&amp;MONTH(Du_Lieu[[#This Row],[Date]])</f>
        <v>Tháng 7</v>
      </c>
      <c r="J203" s="12">
        <f t="shared" si="9"/>
        <v>266.652397260274</v>
      </c>
      <c r="K203" s="12" t="str">
        <f t="shared" si="10"/>
        <v>OTHER</v>
      </c>
      <c r="L203" s="13">
        <f t="shared" si="11"/>
        <v>0.5</v>
      </c>
      <c r="M203" s="15"/>
      <c r="N203" s="7">
        <f>COUNTIF(F:F,Du_Lieu[[#This Row],[Invoice]])</f>
        <v>2</v>
      </c>
    </row>
    <row r="204" spans="1:14">
      <c r="A204" s="10">
        <v>44389</v>
      </c>
      <c r="B204" s="7" t="s">
        <v>13</v>
      </c>
      <c r="C204" s="7" t="s">
        <v>59</v>
      </c>
      <c r="D204" s="7" t="s">
        <v>490</v>
      </c>
      <c r="E204" s="7" t="s">
        <v>491</v>
      </c>
      <c r="F204" s="7" t="s">
        <v>492</v>
      </c>
      <c r="G204" s="11">
        <v>1</v>
      </c>
      <c r="H204" s="11">
        <v>63184000</v>
      </c>
      <c r="I204" s="11" t="str">
        <f>"Tháng"&amp;" "&amp;MONTH(Du_Lieu[[#This Row],[Date]])</f>
        <v>Tháng 7</v>
      </c>
      <c r="J204" s="12">
        <f t="shared" si="9"/>
        <v>2704.79452054795</v>
      </c>
      <c r="K204" s="12" t="str">
        <f t="shared" si="10"/>
        <v>OTHER</v>
      </c>
      <c r="L204" s="13">
        <f t="shared" si="11"/>
        <v>1</v>
      </c>
      <c r="M204" s="15"/>
      <c r="N204" s="7">
        <f>COUNTIF(F:F,Du_Lieu[[#This Row],[Invoice]])</f>
        <v>1</v>
      </c>
    </row>
    <row r="205" spans="1:14">
      <c r="A205" s="10">
        <v>44394</v>
      </c>
      <c r="B205" s="7" t="s">
        <v>13</v>
      </c>
      <c r="C205" s="7" t="s">
        <v>59</v>
      </c>
      <c r="D205" s="7" t="s">
        <v>278</v>
      </c>
      <c r="E205" s="7" t="s">
        <v>493</v>
      </c>
      <c r="F205" s="7" t="s">
        <v>494</v>
      </c>
      <c r="G205" s="11">
        <v>1</v>
      </c>
      <c r="H205" s="11">
        <v>5416000</v>
      </c>
      <c r="I205" s="11" t="str">
        <f>"Tháng"&amp;" "&amp;MONTH(Du_Lieu[[#This Row],[Date]])</f>
        <v>Tháng 7</v>
      </c>
      <c r="J205" s="12">
        <f t="shared" si="9"/>
        <v>231.849315068493</v>
      </c>
      <c r="K205" s="12" t="str">
        <f t="shared" si="10"/>
        <v>OTHER</v>
      </c>
      <c r="L205" s="13">
        <f t="shared" si="11"/>
        <v>1</v>
      </c>
      <c r="M205" s="15"/>
      <c r="N205" s="7">
        <f>COUNTIF(F:F,Du_Lieu[[#This Row],[Invoice]])</f>
        <v>1</v>
      </c>
    </row>
    <row r="206" spans="1:14">
      <c r="A206" s="10">
        <v>44394</v>
      </c>
      <c r="B206" s="7" t="s">
        <v>44</v>
      </c>
      <c r="C206" s="7" t="s">
        <v>59</v>
      </c>
      <c r="D206" s="7" t="s">
        <v>340</v>
      </c>
      <c r="E206" s="7" t="s">
        <v>495</v>
      </c>
      <c r="F206" s="7" t="s">
        <v>496</v>
      </c>
      <c r="G206" s="11">
        <v>1</v>
      </c>
      <c r="H206" s="11">
        <v>6229000</v>
      </c>
      <c r="I206" s="11" t="str">
        <f>"Tháng"&amp;" "&amp;MONTH(Du_Lieu[[#This Row],[Date]])</f>
        <v>Tháng 7</v>
      </c>
      <c r="J206" s="12">
        <f t="shared" si="9"/>
        <v>266.652397260274</v>
      </c>
      <c r="K206" s="12" t="str">
        <f t="shared" si="10"/>
        <v>OTHER</v>
      </c>
      <c r="L206" s="13">
        <f t="shared" si="11"/>
        <v>1</v>
      </c>
      <c r="M206" s="15"/>
      <c r="N206" s="7">
        <f>COUNTIF(F:F,Du_Lieu[[#This Row],[Invoice]])</f>
        <v>1</v>
      </c>
    </row>
    <row r="207" spans="1:14">
      <c r="A207" s="10">
        <v>44395</v>
      </c>
      <c r="B207" s="7" t="s">
        <v>44</v>
      </c>
      <c r="C207" s="7" t="s">
        <v>59</v>
      </c>
      <c r="D207" s="7" t="s">
        <v>497</v>
      </c>
      <c r="E207" s="7" t="s">
        <v>498</v>
      </c>
      <c r="F207" s="7" t="s">
        <v>499</v>
      </c>
      <c r="G207" s="11">
        <v>1</v>
      </c>
      <c r="H207" s="11">
        <v>27982000</v>
      </c>
      <c r="I207" s="11" t="str">
        <f>"Tháng"&amp;" "&amp;MONTH(Du_Lieu[[#This Row],[Date]])</f>
        <v>Tháng 7</v>
      </c>
      <c r="J207" s="12">
        <f t="shared" si="9"/>
        <v>1197.8595890411</v>
      </c>
      <c r="K207" s="12" t="str">
        <f t="shared" si="10"/>
        <v>OTHER</v>
      </c>
      <c r="L207" s="13">
        <f t="shared" si="11"/>
        <v>0.5</v>
      </c>
      <c r="M207" s="15"/>
      <c r="N207" s="7">
        <f>COUNTIF(F:F,Du_Lieu[[#This Row],[Invoice]])</f>
        <v>2</v>
      </c>
    </row>
    <row r="208" spans="1:14">
      <c r="A208" s="10">
        <v>44395</v>
      </c>
      <c r="B208" s="7" t="s">
        <v>44</v>
      </c>
      <c r="C208" s="7" t="s">
        <v>59</v>
      </c>
      <c r="D208" s="7" t="s">
        <v>500</v>
      </c>
      <c r="E208" s="7" t="s">
        <v>498</v>
      </c>
      <c r="F208" s="7" t="s">
        <v>499</v>
      </c>
      <c r="G208" s="11">
        <v>1</v>
      </c>
      <c r="H208" s="11">
        <v>27982000</v>
      </c>
      <c r="I208" s="11" t="str">
        <f>"Tháng"&amp;" "&amp;MONTH(Du_Lieu[[#This Row],[Date]])</f>
        <v>Tháng 7</v>
      </c>
      <c r="J208" s="12">
        <f t="shared" si="9"/>
        <v>1197.8595890411</v>
      </c>
      <c r="K208" s="12" t="str">
        <f t="shared" si="10"/>
        <v>OTHER</v>
      </c>
      <c r="L208" s="13">
        <f t="shared" si="11"/>
        <v>0.5</v>
      </c>
      <c r="M208" s="15"/>
      <c r="N208" s="7">
        <f>COUNTIF(F:F,Du_Lieu[[#This Row],[Invoice]])</f>
        <v>2</v>
      </c>
    </row>
    <row r="209" spans="1:14">
      <c r="A209" s="10">
        <v>44395</v>
      </c>
      <c r="B209" s="7" t="s">
        <v>44</v>
      </c>
      <c r="C209" s="7" t="s">
        <v>59</v>
      </c>
      <c r="D209" s="7" t="s">
        <v>349</v>
      </c>
      <c r="E209" s="7" t="s">
        <v>501</v>
      </c>
      <c r="F209" s="7" t="s">
        <v>502</v>
      </c>
      <c r="G209" s="11">
        <v>1</v>
      </c>
      <c r="H209" s="11">
        <v>10832000</v>
      </c>
      <c r="I209" s="11" t="str">
        <f>"Tháng"&amp;" "&amp;MONTH(Du_Lieu[[#This Row],[Date]])</f>
        <v>Tháng 7</v>
      </c>
      <c r="J209" s="12">
        <f t="shared" si="9"/>
        <v>463.698630136986</v>
      </c>
      <c r="K209" s="12" t="str">
        <f t="shared" si="10"/>
        <v>OTHER</v>
      </c>
      <c r="L209" s="13">
        <f t="shared" si="11"/>
        <v>1</v>
      </c>
      <c r="M209" s="15"/>
      <c r="N209" s="7">
        <f>COUNTIF(F:F,Du_Lieu[[#This Row],[Invoice]])</f>
        <v>1</v>
      </c>
    </row>
    <row r="210" spans="1:14">
      <c r="A210" s="10">
        <v>44395</v>
      </c>
      <c r="B210" s="7" t="s">
        <v>44</v>
      </c>
      <c r="C210" s="7" t="s">
        <v>59</v>
      </c>
      <c r="D210" s="7" t="s">
        <v>289</v>
      </c>
      <c r="E210" s="7" t="s">
        <v>503</v>
      </c>
      <c r="F210" s="7" t="s">
        <v>504</v>
      </c>
      <c r="G210" s="11">
        <v>1</v>
      </c>
      <c r="H210" s="11">
        <v>6229000</v>
      </c>
      <c r="I210" s="11" t="str">
        <f>"Tháng"&amp;" "&amp;MONTH(Du_Lieu[[#This Row],[Date]])</f>
        <v>Tháng 7</v>
      </c>
      <c r="J210" s="12">
        <f t="shared" si="9"/>
        <v>266.652397260274</v>
      </c>
      <c r="K210" s="12" t="str">
        <f t="shared" si="10"/>
        <v>OTHER</v>
      </c>
      <c r="L210" s="13">
        <f t="shared" si="11"/>
        <v>1</v>
      </c>
      <c r="M210" s="15"/>
      <c r="N210" s="7">
        <f>COUNTIF(F:F,Du_Lieu[[#This Row],[Invoice]])</f>
        <v>1</v>
      </c>
    </row>
    <row r="211" spans="1:14">
      <c r="A211" s="10">
        <v>44398</v>
      </c>
      <c r="B211" s="7" t="s">
        <v>13</v>
      </c>
      <c r="C211" s="7" t="s">
        <v>59</v>
      </c>
      <c r="D211" s="7" t="s">
        <v>505</v>
      </c>
      <c r="E211" s="7" t="s">
        <v>506</v>
      </c>
      <c r="F211" s="7" t="s">
        <v>507</v>
      </c>
      <c r="G211" s="11">
        <v>1</v>
      </c>
      <c r="H211" s="11">
        <v>67697000</v>
      </c>
      <c r="I211" s="11" t="str">
        <f>"Tháng"&amp;" "&amp;MONTH(Du_Lieu[[#This Row],[Date]])</f>
        <v>Tháng 7</v>
      </c>
      <c r="J211" s="12">
        <f t="shared" si="9"/>
        <v>2897.98801369863</v>
      </c>
      <c r="K211" s="12" t="str">
        <f t="shared" si="10"/>
        <v>OTHER</v>
      </c>
      <c r="L211" s="13">
        <f t="shared" si="11"/>
        <v>0.333333333333333</v>
      </c>
      <c r="M211" s="15"/>
      <c r="N211" s="7">
        <f>COUNTIF(F:F,Du_Lieu[[#This Row],[Invoice]])</f>
        <v>3</v>
      </c>
    </row>
    <row r="212" spans="1:14">
      <c r="A212" s="10">
        <v>44398</v>
      </c>
      <c r="B212" s="7" t="s">
        <v>13</v>
      </c>
      <c r="C212" s="7" t="s">
        <v>59</v>
      </c>
      <c r="D212" s="7" t="s">
        <v>508</v>
      </c>
      <c r="E212" s="7" t="s">
        <v>506</v>
      </c>
      <c r="F212" s="7" t="s">
        <v>507</v>
      </c>
      <c r="G212" s="11">
        <v>1</v>
      </c>
      <c r="H212" s="11">
        <v>38813000</v>
      </c>
      <c r="I212" s="11" t="str">
        <f>"Tháng"&amp;" "&amp;MONTH(Du_Lieu[[#This Row],[Date]])</f>
        <v>Tháng 7</v>
      </c>
      <c r="J212" s="12">
        <f t="shared" si="9"/>
        <v>1661.5154109589</v>
      </c>
      <c r="K212" s="12" t="str">
        <f t="shared" si="10"/>
        <v>OTHER</v>
      </c>
      <c r="L212" s="13">
        <f t="shared" si="11"/>
        <v>0.333333333333333</v>
      </c>
      <c r="M212" s="15"/>
      <c r="N212" s="7">
        <f>COUNTIF(F:F,Du_Lieu[[#This Row],[Invoice]])</f>
        <v>3</v>
      </c>
    </row>
    <row r="213" spans="1:14">
      <c r="A213" s="10">
        <v>44398</v>
      </c>
      <c r="B213" s="7" t="s">
        <v>13</v>
      </c>
      <c r="C213" s="7" t="s">
        <v>59</v>
      </c>
      <c r="D213" s="7" t="s">
        <v>509</v>
      </c>
      <c r="E213" s="7" t="s">
        <v>506</v>
      </c>
      <c r="F213" s="7" t="s">
        <v>507</v>
      </c>
      <c r="G213" s="11">
        <v>1</v>
      </c>
      <c r="H213" s="11">
        <v>48742000</v>
      </c>
      <c r="I213" s="11" t="str">
        <f>"Tháng"&amp;" "&amp;MONTH(Du_Lieu[[#This Row],[Date]])</f>
        <v>Tháng 7</v>
      </c>
      <c r="J213" s="12">
        <f t="shared" si="9"/>
        <v>2086.55821917808</v>
      </c>
      <c r="K213" s="12" t="str">
        <f t="shared" si="10"/>
        <v>OTHER</v>
      </c>
      <c r="L213" s="13">
        <f t="shared" si="11"/>
        <v>0.333333333333333</v>
      </c>
      <c r="M213" s="15"/>
      <c r="N213" s="7">
        <f>COUNTIF(F:F,Du_Lieu[[#This Row],[Invoice]])</f>
        <v>3</v>
      </c>
    </row>
    <row r="214" spans="1:14">
      <c r="A214" s="10">
        <v>44454</v>
      </c>
      <c r="B214" s="7" t="s">
        <v>263</v>
      </c>
      <c r="C214" s="7" t="s">
        <v>59</v>
      </c>
      <c r="D214" s="7" t="s">
        <v>278</v>
      </c>
      <c r="E214" s="7" t="s">
        <v>510</v>
      </c>
      <c r="F214" s="7" t="s">
        <v>511</v>
      </c>
      <c r="G214" s="11">
        <v>1</v>
      </c>
      <c r="H214" s="11">
        <v>5416000</v>
      </c>
      <c r="I214" s="11" t="str">
        <f>"Tháng"&amp;" "&amp;MONTH(Du_Lieu[[#This Row],[Date]])</f>
        <v>Tháng 9</v>
      </c>
      <c r="J214" s="12">
        <f t="shared" si="9"/>
        <v>231.849315068493</v>
      </c>
      <c r="K214" s="12" t="str">
        <f t="shared" si="10"/>
        <v>OTHER</v>
      </c>
      <c r="L214" s="13">
        <f t="shared" si="11"/>
        <v>1</v>
      </c>
      <c r="M214" s="15"/>
      <c r="N214" s="7">
        <f>COUNTIF(F:F,Du_Lieu[[#This Row],[Invoice]])</f>
        <v>1</v>
      </c>
    </row>
    <row r="215" spans="1:14">
      <c r="A215" s="10">
        <v>44454</v>
      </c>
      <c r="B215" s="7" t="s">
        <v>13</v>
      </c>
      <c r="C215" s="7" t="s">
        <v>59</v>
      </c>
      <c r="D215" s="7" t="s">
        <v>512</v>
      </c>
      <c r="E215" s="7" t="s">
        <v>513</v>
      </c>
      <c r="F215" s="7" t="s">
        <v>514</v>
      </c>
      <c r="G215" s="11">
        <v>1</v>
      </c>
      <c r="H215" s="11">
        <v>285227000</v>
      </c>
      <c r="I215" s="11" t="str">
        <f>"Tháng"&amp;" "&amp;MONTH(Du_Lieu[[#This Row],[Date]])</f>
        <v>Tháng 9</v>
      </c>
      <c r="J215" s="12">
        <f t="shared" si="9"/>
        <v>12210.0599315068</v>
      </c>
      <c r="K215" s="12" t="str">
        <f t="shared" si="10"/>
        <v>SILVER</v>
      </c>
      <c r="L215" s="13">
        <f t="shared" si="11"/>
        <v>1</v>
      </c>
      <c r="M215" s="15"/>
      <c r="N215" s="7">
        <f>COUNTIF(F:F,Du_Lieu[[#This Row],[Invoice]])</f>
        <v>1</v>
      </c>
    </row>
    <row r="216" spans="1:14">
      <c r="A216" s="10">
        <v>44463</v>
      </c>
      <c r="B216" s="7" t="s">
        <v>44</v>
      </c>
      <c r="C216" s="7" t="s">
        <v>59</v>
      </c>
      <c r="D216" s="7" t="s">
        <v>515</v>
      </c>
      <c r="E216" s="7" t="s">
        <v>516</v>
      </c>
      <c r="F216" s="7" t="s">
        <v>517</v>
      </c>
      <c r="G216" s="11">
        <v>1</v>
      </c>
      <c r="H216" s="11">
        <v>10832000</v>
      </c>
      <c r="I216" s="11" t="str">
        <f>"Tháng"&amp;" "&amp;MONTH(Du_Lieu[[#This Row],[Date]])</f>
        <v>Tháng 9</v>
      </c>
      <c r="J216" s="12">
        <f t="shared" si="9"/>
        <v>463.698630136986</v>
      </c>
      <c r="K216" s="12" t="str">
        <f t="shared" si="10"/>
        <v>OTHER</v>
      </c>
      <c r="L216" s="13">
        <f t="shared" si="11"/>
        <v>1</v>
      </c>
      <c r="M216" s="15"/>
      <c r="N216" s="7">
        <f>COUNTIF(F:F,Du_Lieu[[#This Row],[Invoice]])</f>
        <v>1</v>
      </c>
    </row>
    <row r="217" spans="1:14">
      <c r="A217" s="10">
        <v>44466</v>
      </c>
      <c r="B217" s="7" t="s">
        <v>44</v>
      </c>
      <c r="C217" s="7" t="s">
        <v>59</v>
      </c>
      <c r="D217" s="7" t="s">
        <v>403</v>
      </c>
      <c r="E217" s="7" t="s">
        <v>518</v>
      </c>
      <c r="F217" s="7" t="s">
        <v>519</v>
      </c>
      <c r="G217" s="11">
        <v>1</v>
      </c>
      <c r="H217" s="11">
        <v>26176000</v>
      </c>
      <c r="I217" s="11" t="str">
        <f>"Tháng"&amp;" "&amp;MONTH(Du_Lieu[[#This Row],[Date]])</f>
        <v>Tháng 9</v>
      </c>
      <c r="J217" s="12">
        <f t="shared" si="9"/>
        <v>1120.54794520548</v>
      </c>
      <c r="K217" s="12" t="str">
        <f t="shared" si="10"/>
        <v>OTHER</v>
      </c>
      <c r="L217" s="13">
        <f t="shared" si="11"/>
        <v>1</v>
      </c>
      <c r="M217" s="15"/>
      <c r="N217" s="7">
        <f>COUNTIF(F:F,Du_Lieu[[#This Row],[Invoice]])</f>
        <v>1</v>
      </c>
    </row>
    <row r="218" spans="1:14">
      <c r="A218" s="10">
        <v>44466</v>
      </c>
      <c r="B218" s="7" t="s">
        <v>44</v>
      </c>
      <c r="C218" s="7" t="s">
        <v>59</v>
      </c>
      <c r="D218" s="7" t="s">
        <v>520</v>
      </c>
      <c r="E218" s="7" t="s">
        <v>521</v>
      </c>
      <c r="F218" s="7" t="s">
        <v>522</v>
      </c>
      <c r="G218" s="11">
        <v>1</v>
      </c>
      <c r="H218" s="11">
        <v>6229000</v>
      </c>
      <c r="I218" s="11" t="str">
        <f>"Tháng"&amp;" "&amp;MONTH(Du_Lieu[[#This Row],[Date]])</f>
        <v>Tháng 9</v>
      </c>
      <c r="J218" s="12">
        <f t="shared" si="9"/>
        <v>266.652397260274</v>
      </c>
      <c r="K218" s="12" t="str">
        <f t="shared" si="10"/>
        <v>OTHER</v>
      </c>
      <c r="L218" s="13">
        <f t="shared" si="11"/>
        <v>1</v>
      </c>
      <c r="M218" s="15"/>
      <c r="N218" s="7">
        <f>COUNTIF(F:F,Du_Lieu[[#This Row],[Invoice]])</f>
        <v>1</v>
      </c>
    </row>
    <row r="219" spans="1:14">
      <c r="A219" s="10">
        <v>44467</v>
      </c>
      <c r="B219" s="7" t="s">
        <v>44</v>
      </c>
      <c r="C219" s="7" t="s">
        <v>59</v>
      </c>
      <c r="D219" s="7" t="s">
        <v>523</v>
      </c>
      <c r="E219" s="7" t="s">
        <v>524</v>
      </c>
      <c r="F219" s="7" t="s">
        <v>525</v>
      </c>
      <c r="G219" s="11">
        <v>1</v>
      </c>
      <c r="H219" s="11">
        <v>6229000</v>
      </c>
      <c r="I219" s="11" t="str">
        <f>"Tháng"&amp;" "&amp;MONTH(Du_Lieu[[#This Row],[Date]])</f>
        <v>Tháng 9</v>
      </c>
      <c r="J219" s="12">
        <f t="shared" si="9"/>
        <v>266.652397260274</v>
      </c>
      <c r="K219" s="12" t="str">
        <f t="shared" si="10"/>
        <v>OTHER</v>
      </c>
      <c r="L219" s="13">
        <f t="shared" si="11"/>
        <v>1</v>
      </c>
      <c r="M219" s="15"/>
      <c r="N219" s="7">
        <f>COUNTIF(F:F,Du_Lieu[[#This Row],[Invoice]])</f>
        <v>1</v>
      </c>
    </row>
    <row r="220" spans="1:14">
      <c r="A220" s="10">
        <v>44467</v>
      </c>
      <c r="B220" s="7" t="s">
        <v>15</v>
      </c>
      <c r="C220" s="7" t="s">
        <v>59</v>
      </c>
      <c r="D220" s="7" t="s">
        <v>526</v>
      </c>
      <c r="E220" s="7" t="s">
        <v>527</v>
      </c>
      <c r="F220" s="7" t="s">
        <v>528</v>
      </c>
      <c r="G220" s="11">
        <v>1</v>
      </c>
      <c r="H220" s="11">
        <v>43326000</v>
      </c>
      <c r="I220" s="11" t="str">
        <f>"Tháng"&amp;" "&amp;MONTH(Du_Lieu[[#This Row],[Date]])</f>
        <v>Tháng 9</v>
      </c>
      <c r="J220" s="12">
        <f t="shared" si="9"/>
        <v>1854.70890410959</v>
      </c>
      <c r="K220" s="12" t="str">
        <f t="shared" si="10"/>
        <v>OTHER</v>
      </c>
      <c r="L220" s="13">
        <f t="shared" si="11"/>
        <v>0.5</v>
      </c>
      <c r="M220" s="15"/>
      <c r="N220" s="7">
        <f>COUNTIF(F:F,Du_Lieu[[#This Row],[Invoice]])</f>
        <v>2</v>
      </c>
    </row>
    <row r="221" spans="1:14">
      <c r="A221" s="10">
        <v>44467</v>
      </c>
      <c r="B221" s="7" t="s">
        <v>15</v>
      </c>
      <c r="C221" s="7" t="s">
        <v>59</v>
      </c>
      <c r="D221" s="7" t="s">
        <v>529</v>
      </c>
      <c r="E221" s="7" t="s">
        <v>527</v>
      </c>
      <c r="F221" s="7" t="s">
        <v>528</v>
      </c>
      <c r="G221" s="11">
        <v>1</v>
      </c>
      <c r="H221" s="11">
        <v>43326000</v>
      </c>
      <c r="I221" s="11" t="str">
        <f>"Tháng"&amp;" "&amp;MONTH(Du_Lieu[[#This Row],[Date]])</f>
        <v>Tháng 9</v>
      </c>
      <c r="J221" s="12">
        <f t="shared" si="9"/>
        <v>1854.70890410959</v>
      </c>
      <c r="K221" s="12" t="str">
        <f t="shared" si="10"/>
        <v>OTHER</v>
      </c>
      <c r="L221" s="13">
        <f t="shared" si="11"/>
        <v>0.5</v>
      </c>
      <c r="M221" s="15"/>
      <c r="N221" s="7">
        <f>COUNTIF(F:F,Du_Lieu[[#This Row],[Invoice]])</f>
        <v>2</v>
      </c>
    </row>
    <row r="222" spans="1:14">
      <c r="A222" s="10">
        <v>44468</v>
      </c>
      <c r="B222" s="7" t="s">
        <v>13</v>
      </c>
      <c r="C222" s="7" t="s">
        <v>59</v>
      </c>
      <c r="D222" s="7" t="s">
        <v>530</v>
      </c>
      <c r="E222" s="7" t="s">
        <v>531</v>
      </c>
      <c r="F222" s="7" t="s">
        <v>532</v>
      </c>
      <c r="G222" s="11">
        <v>1</v>
      </c>
      <c r="H222" s="11">
        <v>143517000</v>
      </c>
      <c r="I222" s="11" t="str">
        <f>"Tháng"&amp;" "&amp;MONTH(Du_Lieu[[#This Row],[Date]])</f>
        <v>Tháng 9</v>
      </c>
      <c r="J222" s="12">
        <f t="shared" si="9"/>
        <v>6143.70719178082</v>
      </c>
      <c r="K222" s="12" t="str">
        <f t="shared" si="10"/>
        <v>CLIENTELING OR CT</v>
      </c>
      <c r="L222" s="13">
        <f t="shared" si="11"/>
        <v>1</v>
      </c>
      <c r="M222" s="15"/>
      <c r="N222" s="7">
        <f>COUNTIF(F:F,Du_Lieu[[#This Row],[Invoice]])</f>
        <v>1</v>
      </c>
    </row>
    <row r="223" spans="1:14">
      <c r="A223" s="10">
        <v>44468</v>
      </c>
      <c r="B223" s="7" t="s">
        <v>15</v>
      </c>
      <c r="C223" s="7" t="s">
        <v>59</v>
      </c>
      <c r="D223" s="7" t="s">
        <v>533</v>
      </c>
      <c r="E223" s="7" t="s">
        <v>534</v>
      </c>
      <c r="F223" s="7" t="s">
        <v>535</v>
      </c>
      <c r="G223" s="11">
        <v>1</v>
      </c>
      <c r="H223" s="11">
        <v>114633000</v>
      </c>
      <c r="I223" s="11" t="str">
        <f>"Tháng"&amp;" "&amp;MONTH(Du_Lieu[[#This Row],[Date]])</f>
        <v>Tháng 9</v>
      </c>
      <c r="J223" s="12">
        <f t="shared" si="9"/>
        <v>4907.2345890411</v>
      </c>
      <c r="K223" s="12" t="str">
        <f t="shared" si="10"/>
        <v>CLIENTELING OR CT</v>
      </c>
      <c r="L223" s="13">
        <f t="shared" si="11"/>
        <v>1</v>
      </c>
      <c r="M223" s="15"/>
      <c r="N223" s="7">
        <f>COUNTIF(F:F,Du_Lieu[[#This Row],[Invoice]])</f>
        <v>1</v>
      </c>
    </row>
    <row r="224" spans="1:14">
      <c r="A224" s="10">
        <v>44469</v>
      </c>
      <c r="B224" s="7" t="s">
        <v>44</v>
      </c>
      <c r="C224" s="7" t="s">
        <v>59</v>
      </c>
      <c r="D224" s="7" t="s">
        <v>536</v>
      </c>
      <c r="E224" s="7" t="s">
        <v>537</v>
      </c>
      <c r="F224" s="7" t="s">
        <v>538</v>
      </c>
      <c r="G224" s="11">
        <v>1</v>
      </c>
      <c r="H224" s="11">
        <v>31592000</v>
      </c>
      <c r="I224" s="11" t="str">
        <f>"Tháng"&amp;" "&amp;MONTH(Du_Lieu[[#This Row],[Date]])</f>
        <v>Tháng 9</v>
      </c>
      <c r="J224" s="12">
        <f t="shared" si="9"/>
        <v>1352.39726027397</v>
      </c>
      <c r="K224" s="12" t="str">
        <f t="shared" si="10"/>
        <v>OTHER</v>
      </c>
      <c r="L224" s="13">
        <f t="shared" si="11"/>
        <v>1</v>
      </c>
      <c r="M224" s="15"/>
      <c r="N224" s="7">
        <f>COUNTIF(F:F,Du_Lieu[[#This Row],[Invoice]])</f>
        <v>1</v>
      </c>
    </row>
    <row r="225" spans="1:14">
      <c r="A225" s="10">
        <v>44470</v>
      </c>
      <c r="B225" s="7" t="s">
        <v>15</v>
      </c>
      <c r="C225" s="7" t="s">
        <v>59</v>
      </c>
      <c r="D225" s="7" t="s">
        <v>539</v>
      </c>
      <c r="E225" s="7" t="s">
        <v>540</v>
      </c>
      <c r="F225" s="7" t="s">
        <v>541</v>
      </c>
      <c r="G225" s="11">
        <v>1</v>
      </c>
      <c r="H225" s="11">
        <v>37910000</v>
      </c>
      <c r="I225" s="11" t="str">
        <f>"Tháng"&amp;" "&amp;MONTH(Du_Lieu[[#This Row],[Date]])</f>
        <v>Tháng 10</v>
      </c>
      <c r="J225" s="12">
        <f t="shared" si="9"/>
        <v>1622.8595890411</v>
      </c>
      <c r="K225" s="12" t="str">
        <f t="shared" si="10"/>
        <v>OTHER</v>
      </c>
      <c r="L225" s="13">
        <f t="shared" si="11"/>
        <v>0.5</v>
      </c>
      <c r="M225" s="15"/>
      <c r="N225" s="7">
        <f>COUNTIF(F:F,Du_Lieu[[#This Row],[Invoice]])</f>
        <v>2</v>
      </c>
    </row>
    <row r="226" spans="1:14">
      <c r="A226" s="10">
        <v>44470</v>
      </c>
      <c r="B226" s="7" t="s">
        <v>15</v>
      </c>
      <c r="C226" s="7" t="s">
        <v>59</v>
      </c>
      <c r="D226" s="7" t="s">
        <v>542</v>
      </c>
      <c r="E226" s="7" t="s">
        <v>540</v>
      </c>
      <c r="F226" s="7" t="s">
        <v>541</v>
      </c>
      <c r="G226" s="11">
        <v>1</v>
      </c>
      <c r="H226" s="11">
        <v>43326000</v>
      </c>
      <c r="I226" s="11" t="str">
        <f>"Tháng"&amp;" "&amp;MONTH(Du_Lieu[[#This Row],[Date]])</f>
        <v>Tháng 10</v>
      </c>
      <c r="J226" s="12">
        <f t="shared" si="9"/>
        <v>1854.70890410959</v>
      </c>
      <c r="K226" s="12" t="str">
        <f t="shared" si="10"/>
        <v>OTHER</v>
      </c>
      <c r="L226" s="13">
        <f t="shared" si="11"/>
        <v>0.5</v>
      </c>
      <c r="M226" s="15"/>
      <c r="N226" s="7">
        <f>COUNTIF(F:F,Du_Lieu[[#This Row],[Invoice]])</f>
        <v>2</v>
      </c>
    </row>
    <row r="227" spans="1:14">
      <c r="A227" s="10">
        <v>44471</v>
      </c>
      <c r="B227" s="7" t="s">
        <v>44</v>
      </c>
      <c r="C227" s="7" t="s">
        <v>59</v>
      </c>
      <c r="D227" s="7" t="s">
        <v>81</v>
      </c>
      <c r="E227" s="7" t="s">
        <v>543</v>
      </c>
      <c r="F227" s="7" t="s">
        <v>544</v>
      </c>
      <c r="G227" s="11">
        <v>1</v>
      </c>
      <c r="H227" s="11">
        <v>6229000</v>
      </c>
      <c r="I227" s="11" t="str">
        <f>"Tháng"&amp;" "&amp;MONTH(Du_Lieu[[#This Row],[Date]])</f>
        <v>Tháng 10</v>
      </c>
      <c r="J227" s="12">
        <f t="shared" si="9"/>
        <v>266.652397260274</v>
      </c>
      <c r="K227" s="12" t="str">
        <f t="shared" si="10"/>
        <v>OTHER</v>
      </c>
      <c r="L227" s="13">
        <f t="shared" si="11"/>
        <v>1</v>
      </c>
      <c r="M227" s="15"/>
      <c r="N227" s="7">
        <f>COUNTIF(F:F,Du_Lieu[[#This Row],[Invoice]])</f>
        <v>1</v>
      </c>
    </row>
    <row r="228" spans="1:14">
      <c r="A228" s="10">
        <v>44471</v>
      </c>
      <c r="B228" s="7" t="s">
        <v>44</v>
      </c>
      <c r="C228" s="7" t="s">
        <v>59</v>
      </c>
      <c r="D228" s="7" t="s">
        <v>545</v>
      </c>
      <c r="E228" s="7" t="s">
        <v>546</v>
      </c>
      <c r="F228" s="7" t="s">
        <v>547</v>
      </c>
      <c r="G228" s="11">
        <v>1</v>
      </c>
      <c r="H228" s="11">
        <v>59573000</v>
      </c>
      <c r="I228" s="11" t="str">
        <f>"Tháng"&amp;" "&amp;MONTH(Du_Lieu[[#This Row],[Date]])</f>
        <v>Tháng 10</v>
      </c>
      <c r="J228" s="12">
        <f t="shared" si="9"/>
        <v>2550.21404109589</v>
      </c>
      <c r="K228" s="12" t="str">
        <f t="shared" si="10"/>
        <v>OTHER</v>
      </c>
      <c r="L228" s="13">
        <f t="shared" si="11"/>
        <v>1</v>
      </c>
      <c r="M228" s="15"/>
      <c r="N228" s="7">
        <f>COUNTIF(F:F,Du_Lieu[[#This Row],[Invoice]])</f>
        <v>1</v>
      </c>
    </row>
    <row r="229" spans="1:14">
      <c r="A229" s="10">
        <v>44471</v>
      </c>
      <c r="B229" s="7" t="s">
        <v>44</v>
      </c>
      <c r="C229" s="7" t="s">
        <v>59</v>
      </c>
      <c r="D229" s="7" t="s">
        <v>548</v>
      </c>
      <c r="E229" s="7" t="s">
        <v>549</v>
      </c>
      <c r="F229" s="7" t="s">
        <v>550</v>
      </c>
      <c r="G229" s="11">
        <v>1</v>
      </c>
      <c r="H229" s="11">
        <v>12096000</v>
      </c>
      <c r="I229" s="11" t="str">
        <f>"Tháng"&amp;" "&amp;MONTH(Du_Lieu[[#This Row],[Date]])</f>
        <v>Tháng 10</v>
      </c>
      <c r="J229" s="12">
        <f t="shared" si="9"/>
        <v>517.808219178082</v>
      </c>
      <c r="K229" s="12" t="str">
        <f t="shared" si="10"/>
        <v>OTHER</v>
      </c>
      <c r="L229" s="13">
        <f t="shared" si="11"/>
        <v>0.5</v>
      </c>
      <c r="M229" s="15"/>
      <c r="N229" s="7">
        <f>COUNTIF(F:F,Du_Lieu[[#This Row],[Invoice]])</f>
        <v>2</v>
      </c>
    </row>
    <row r="230" spans="1:14">
      <c r="A230" s="10">
        <v>44471</v>
      </c>
      <c r="B230" s="7" t="s">
        <v>44</v>
      </c>
      <c r="C230" s="7" t="s">
        <v>59</v>
      </c>
      <c r="D230" s="7" t="s">
        <v>551</v>
      </c>
      <c r="E230" s="7" t="s">
        <v>549</v>
      </c>
      <c r="F230" s="7" t="s">
        <v>550</v>
      </c>
      <c r="G230" s="11">
        <v>1</v>
      </c>
      <c r="H230" s="11">
        <v>13179000</v>
      </c>
      <c r="I230" s="11" t="str">
        <f>"Tháng"&amp;" "&amp;MONTH(Du_Lieu[[#This Row],[Date]])</f>
        <v>Tháng 10</v>
      </c>
      <c r="J230" s="12">
        <f t="shared" si="9"/>
        <v>564.169520547945</v>
      </c>
      <c r="K230" s="12" t="str">
        <f t="shared" si="10"/>
        <v>OTHER</v>
      </c>
      <c r="L230" s="13">
        <f t="shared" si="11"/>
        <v>0.5</v>
      </c>
      <c r="M230" s="15"/>
      <c r="N230" s="7">
        <f>COUNTIF(F:F,Du_Lieu[[#This Row],[Invoice]])</f>
        <v>2</v>
      </c>
    </row>
    <row r="231" spans="1:14">
      <c r="A231" s="10">
        <v>44473</v>
      </c>
      <c r="B231" s="7" t="s">
        <v>15</v>
      </c>
      <c r="C231" s="7" t="s">
        <v>59</v>
      </c>
      <c r="D231" s="7" t="s">
        <v>552</v>
      </c>
      <c r="E231" s="7" t="s">
        <v>553</v>
      </c>
      <c r="F231" s="7" t="s">
        <v>554</v>
      </c>
      <c r="G231" s="11">
        <v>1</v>
      </c>
      <c r="H231" s="11">
        <v>16970000</v>
      </c>
      <c r="I231" s="11" t="str">
        <f>"Tháng"&amp;" "&amp;MONTH(Du_Lieu[[#This Row],[Date]])</f>
        <v>Tháng 10</v>
      </c>
      <c r="J231" s="12">
        <f t="shared" si="9"/>
        <v>726.455479452055</v>
      </c>
      <c r="K231" s="12" t="str">
        <f t="shared" si="10"/>
        <v>OTHER</v>
      </c>
      <c r="L231" s="13">
        <f t="shared" si="11"/>
        <v>1</v>
      </c>
      <c r="M231" s="15"/>
      <c r="N231" s="7">
        <f>COUNTIF(F:F,Du_Lieu[[#This Row],[Invoice]])</f>
        <v>1</v>
      </c>
    </row>
    <row r="232" spans="1:14">
      <c r="A232" s="10">
        <v>44474</v>
      </c>
      <c r="B232" s="7" t="s">
        <v>44</v>
      </c>
      <c r="C232" s="7" t="s">
        <v>59</v>
      </c>
      <c r="D232" s="7" t="s">
        <v>555</v>
      </c>
      <c r="E232" s="7" t="s">
        <v>556</v>
      </c>
      <c r="F232" s="7" t="s">
        <v>557</v>
      </c>
      <c r="G232" s="11">
        <v>1</v>
      </c>
      <c r="H232" s="11">
        <v>6229000</v>
      </c>
      <c r="I232" s="11" t="str">
        <f>"Tháng"&amp;" "&amp;MONTH(Du_Lieu[[#This Row],[Date]])</f>
        <v>Tháng 10</v>
      </c>
      <c r="J232" s="12">
        <f t="shared" si="9"/>
        <v>266.652397260274</v>
      </c>
      <c r="K232" s="12" t="str">
        <f t="shared" si="10"/>
        <v>OTHER</v>
      </c>
      <c r="L232" s="13">
        <f t="shared" si="11"/>
        <v>1</v>
      </c>
      <c r="M232" s="15"/>
      <c r="N232" s="7">
        <f>COUNTIF(F:F,Du_Lieu[[#This Row],[Invoice]])</f>
        <v>1</v>
      </c>
    </row>
    <row r="233" spans="1:14">
      <c r="A233" s="10">
        <v>44474</v>
      </c>
      <c r="B233" s="7" t="s">
        <v>13</v>
      </c>
      <c r="C233" s="7" t="s">
        <v>59</v>
      </c>
      <c r="D233" s="7" t="s">
        <v>558</v>
      </c>
      <c r="E233" s="7" t="s">
        <v>559</v>
      </c>
      <c r="F233" s="7" t="s">
        <v>560</v>
      </c>
      <c r="G233" s="11">
        <v>1</v>
      </c>
      <c r="H233" s="11">
        <v>227460000</v>
      </c>
      <c r="I233" s="11" t="str">
        <f>"Tháng"&amp;" "&amp;MONTH(Du_Lieu[[#This Row],[Date]])</f>
        <v>Tháng 10</v>
      </c>
      <c r="J233" s="12">
        <f t="shared" si="9"/>
        <v>9737.15753424657</v>
      </c>
      <c r="K233" s="12" t="str">
        <f t="shared" si="10"/>
        <v>CLIENTELING OR CT</v>
      </c>
      <c r="L233" s="13">
        <f t="shared" si="11"/>
        <v>0.5</v>
      </c>
      <c r="M233" s="15"/>
      <c r="N233" s="7">
        <f>COUNTIF(F:F,Du_Lieu[[#This Row],[Invoice]])</f>
        <v>2</v>
      </c>
    </row>
    <row r="234" spans="1:14">
      <c r="A234" s="10">
        <v>44474</v>
      </c>
      <c r="B234" s="7" t="s">
        <v>13</v>
      </c>
      <c r="C234" s="7" t="s">
        <v>59</v>
      </c>
      <c r="D234" s="7" t="s">
        <v>561</v>
      </c>
      <c r="E234" s="7" t="s">
        <v>559</v>
      </c>
      <c r="F234" s="7" t="s">
        <v>560</v>
      </c>
      <c r="G234" s="11">
        <v>1</v>
      </c>
      <c r="H234" s="11">
        <v>225655000</v>
      </c>
      <c r="I234" s="11" t="str">
        <f>"Tháng"&amp;" "&amp;MONTH(Du_Lieu[[#This Row],[Date]])</f>
        <v>Tháng 10</v>
      </c>
      <c r="J234" s="12">
        <f t="shared" si="9"/>
        <v>9659.88869863014</v>
      </c>
      <c r="K234" s="12" t="str">
        <f t="shared" si="10"/>
        <v>CLIENTELING OR CT</v>
      </c>
      <c r="L234" s="13">
        <f t="shared" si="11"/>
        <v>0.5</v>
      </c>
      <c r="M234" s="15"/>
      <c r="N234" s="7">
        <f>COUNTIF(F:F,Du_Lieu[[#This Row],[Invoice]])</f>
        <v>2</v>
      </c>
    </row>
    <row r="235" spans="1:14">
      <c r="A235" s="10">
        <v>44475</v>
      </c>
      <c r="B235" s="7" t="s">
        <v>44</v>
      </c>
      <c r="C235" s="7" t="s">
        <v>59</v>
      </c>
      <c r="D235" s="7" t="s">
        <v>403</v>
      </c>
      <c r="E235" s="7" t="s">
        <v>562</v>
      </c>
      <c r="F235" s="7" t="s">
        <v>563</v>
      </c>
      <c r="G235" s="11">
        <v>1</v>
      </c>
      <c r="H235" s="11">
        <v>26176000</v>
      </c>
      <c r="I235" s="11" t="str">
        <f>"Tháng"&amp;" "&amp;MONTH(Du_Lieu[[#This Row],[Date]])</f>
        <v>Tháng 10</v>
      </c>
      <c r="J235" s="12">
        <f t="shared" si="9"/>
        <v>1120.54794520548</v>
      </c>
      <c r="K235" s="12" t="str">
        <f t="shared" si="10"/>
        <v>OTHER</v>
      </c>
      <c r="L235" s="13">
        <f t="shared" si="11"/>
        <v>1</v>
      </c>
      <c r="M235" s="15"/>
      <c r="N235" s="7">
        <f>COUNTIF(F:F,Du_Lieu[[#This Row],[Invoice]])</f>
        <v>1</v>
      </c>
    </row>
    <row r="236" spans="1:14">
      <c r="A236" s="10">
        <v>44475</v>
      </c>
      <c r="B236" s="7" t="s">
        <v>44</v>
      </c>
      <c r="C236" s="7" t="s">
        <v>59</v>
      </c>
      <c r="D236" s="7" t="s">
        <v>564</v>
      </c>
      <c r="E236" s="7" t="s">
        <v>565</v>
      </c>
      <c r="F236" s="7" t="s">
        <v>566</v>
      </c>
      <c r="G236" s="11">
        <v>1</v>
      </c>
      <c r="H236" s="11">
        <v>11554000</v>
      </c>
      <c r="I236" s="11" t="str">
        <f>"Tháng"&amp;" "&amp;MONTH(Du_Lieu[[#This Row],[Date]])</f>
        <v>Tháng 10</v>
      </c>
      <c r="J236" s="12">
        <f t="shared" si="9"/>
        <v>494.606164383562</v>
      </c>
      <c r="K236" s="12" t="str">
        <f t="shared" si="10"/>
        <v>OTHER</v>
      </c>
      <c r="L236" s="13">
        <f t="shared" si="11"/>
        <v>1</v>
      </c>
      <c r="M236" s="15"/>
      <c r="N236" s="7">
        <f>COUNTIF(F:F,Du_Lieu[[#This Row],[Invoice]])</f>
        <v>1</v>
      </c>
    </row>
    <row r="237" spans="1:14">
      <c r="A237" s="10">
        <v>44475</v>
      </c>
      <c r="B237" s="7" t="s">
        <v>13</v>
      </c>
      <c r="C237" s="7" t="s">
        <v>59</v>
      </c>
      <c r="D237" s="7" t="s">
        <v>567</v>
      </c>
      <c r="E237" s="7" t="s">
        <v>568</v>
      </c>
      <c r="F237" s="7" t="s">
        <v>569</v>
      </c>
      <c r="G237" s="11">
        <v>1</v>
      </c>
      <c r="H237" s="11">
        <v>48742000</v>
      </c>
      <c r="I237" s="11" t="str">
        <f>"Tháng"&amp;" "&amp;MONTH(Du_Lieu[[#This Row],[Date]])</f>
        <v>Tháng 10</v>
      </c>
      <c r="J237" s="12">
        <f t="shared" si="9"/>
        <v>2086.55821917808</v>
      </c>
      <c r="K237" s="12" t="str">
        <f t="shared" si="10"/>
        <v>OTHER</v>
      </c>
      <c r="L237" s="13">
        <f t="shared" si="11"/>
        <v>0.25</v>
      </c>
      <c r="M237" s="15"/>
      <c r="N237" s="7">
        <f>COUNTIF(F:F,Du_Lieu[[#This Row],[Invoice]])</f>
        <v>2</v>
      </c>
    </row>
    <row r="238" spans="1:14">
      <c r="A238" s="10">
        <v>44475</v>
      </c>
      <c r="B238" s="7" t="s">
        <v>13</v>
      </c>
      <c r="C238" s="7" t="s">
        <v>59</v>
      </c>
      <c r="D238" s="7" t="s">
        <v>570</v>
      </c>
      <c r="E238" s="7" t="s">
        <v>568</v>
      </c>
      <c r="F238" s="7" t="s">
        <v>569</v>
      </c>
      <c r="G238" s="11">
        <v>1</v>
      </c>
      <c r="H238" s="11">
        <v>43326000</v>
      </c>
      <c r="I238" s="11" t="str">
        <f>"Tháng"&amp;" "&amp;MONTH(Du_Lieu[[#This Row],[Date]])</f>
        <v>Tháng 10</v>
      </c>
      <c r="J238" s="12">
        <f t="shared" si="9"/>
        <v>1854.70890410959</v>
      </c>
      <c r="K238" s="12" t="str">
        <f t="shared" si="10"/>
        <v>OTHER</v>
      </c>
      <c r="L238" s="13">
        <f t="shared" si="11"/>
        <v>0.25</v>
      </c>
      <c r="M238" s="15"/>
      <c r="N238" s="7">
        <f>COUNTIF(F:F,Du_Lieu[[#This Row],[Invoice]])</f>
        <v>2</v>
      </c>
    </row>
    <row r="239" spans="1:14">
      <c r="A239" s="10">
        <v>44476</v>
      </c>
      <c r="B239" s="7" t="s">
        <v>13</v>
      </c>
      <c r="C239" s="7" t="s">
        <v>59</v>
      </c>
      <c r="D239" s="7" t="s">
        <v>571</v>
      </c>
      <c r="E239" s="7" t="s">
        <v>572</v>
      </c>
      <c r="F239" s="7" t="s">
        <v>573</v>
      </c>
      <c r="G239" s="11">
        <v>1</v>
      </c>
      <c r="H239" s="11">
        <v>28884000</v>
      </c>
      <c r="I239" s="11" t="str">
        <f>"Tháng"&amp;" "&amp;MONTH(Du_Lieu[[#This Row],[Date]])</f>
        <v>Tháng 10</v>
      </c>
      <c r="J239" s="12">
        <f t="shared" si="9"/>
        <v>1236.47260273973</v>
      </c>
      <c r="K239" s="12" t="str">
        <f t="shared" si="10"/>
        <v>OTHER</v>
      </c>
      <c r="L239" s="13">
        <f t="shared" si="11"/>
        <v>0.5</v>
      </c>
      <c r="M239" s="15"/>
      <c r="N239" s="7">
        <f>COUNTIF(F:F,Du_Lieu[[#This Row],[Invoice]])</f>
        <v>2</v>
      </c>
    </row>
    <row r="240" spans="1:14">
      <c r="A240" s="10">
        <v>44476</v>
      </c>
      <c r="B240" s="7" t="s">
        <v>13</v>
      </c>
      <c r="C240" s="7" t="s">
        <v>59</v>
      </c>
      <c r="D240" s="7" t="s">
        <v>574</v>
      </c>
      <c r="E240" s="7" t="s">
        <v>572</v>
      </c>
      <c r="F240" s="7" t="s">
        <v>573</v>
      </c>
      <c r="G240" s="11">
        <v>1</v>
      </c>
      <c r="H240" s="11">
        <v>55060000</v>
      </c>
      <c r="I240" s="11" t="str">
        <f>"Tháng"&amp;" "&amp;MONTH(Du_Lieu[[#This Row],[Date]])</f>
        <v>Tháng 10</v>
      </c>
      <c r="J240" s="12">
        <f t="shared" si="9"/>
        <v>2357.02054794521</v>
      </c>
      <c r="K240" s="12" t="str">
        <f t="shared" si="10"/>
        <v>OTHER</v>
      </c>
      <c r="L240" s="13">
        <f t="shared" si="11"/>
        <v>0.5</v>
      </c>
      <c r="M240" s="15"/>
      <c r="N240" s="7">
        <f>COUNTIF(F:F,Du_Lieu[[#This Row],[Invoice]])</f>
        <v>2</v>
      </c>
    </row>
    <row r="241" spans="1:14">
      <c r="A241" s="10">
        <v>44476</v>
      </c>
      <c r="B241" s="7" t="s">
        <v>44</v>
      </c>
      <c r="C241" s="7" t="s">
        <v>59</v>
      </c>
      <c r="D241" s="7" t="s">
        <v>575</v>
      </c>
      <c r="E241" s="7" t="s">
        <v>576</v>
      </c>
      <c r="F241" s="7" t="s">
        <v>577</v>
      </c>
      <c r="G241" s="11">
        <v>1</v>
      </c>
      <c r="H241" s="11">
        <v>17240000</v>
      </c>
      <c r="I241" s="11" t="str">
        <f>"Tháng"&amp;" "&amp;MONTH(Du_Lieu[[#This Row],[Date]])</f>
        <v>Tháng 10</v>
      </c>
      <c r="J241" s="12">
        <f t="shared" si="9"/>
        <v>738.013698630137</v>
      </c>
      <c r="K241" s="12" t="str">
        <f t="shared" si="10"/>
        <v>OTHER</v>
      </c>
      <c r="L241" s="13">
        <f t="shared" si="11"/>
        <v>1</v>
      </c>
      <c r="M241" s="15"/>
      <c r="N241" s="7">
        <f>COUNTIF(F:F,Du_Lieu[[#This Row],[Invoice]])</f>
        <v>1</v>
      </c>
    </row>
    <row r="242" spans="1:14">
      <c r="A242" s="10">
        <v>44477</v>
      </c>
      <c r="B242" s="7" t="s">
        <v>44</v>
      </c>
      <c r="C242" s="7" t="s">
        <v>59</v>
      </c>
      <c r="D242" s="7" t="s">
        <v>578</v>
      </c>
      <c r="E242" s="7" t="s">
        <v>579</v>
      </c>
      <c r="F242" s="7" t="s">
        <v>580</v>
      </c>
      <c r="G242" s="11">
        <v>1</v>
      </c>
      <c r="H242" s="11">
        <v>6680000</v>
      </c>
      <c r="I242" s="11" t="str">
        <f>"Tháng"&amp;" "&amp;MONTH(Du_Lieu[[#This Row],[Date]])</f>
        <v>Tháng 10</v>
      </c>
      <c r="J242" s="12">
        <f t="shared" si="9"/>
        <v>285.958904109589</v>
      </c>
      <c r="K242" s="12" t="str">
        <f t="shared" si="10"/>
        <v>OTHER</v>
      </c>
      <c r="L242" s="13">
        <f t="shared" si="11"/>
        <v>1</v>
      </c>
      <c r="M242" s="15"/>
      <c r="N242" s="7">
        <f>COUNTIF(F:F,Du_Lieu[[#This Row],[Invoice]])</f>
        <v>1</v>
      </c>
    </row>
    <row r="243" spans="1:14">
      <c r="A243" s="10">
        <v>44477</v>
      </c>
      <c r="B243" s="7" t="s">
        <v>44</v>
      </c>
      <c r="C243" s="7" t="s">
        <v>59</v>
      </c>
      <c r="D243" s="7" t="s">
        <v>84</v>
      </c>
      <c r="E243" s="7" t="s">
        <v>581</v>
      </c>
      <c r="F243" s="7" t="s">
        <v>582</v>
      </c>
      <c r="G243" s="11">
        <v>1</v>
      </c>
      <c r="H243" s="11">
        <v>6229000</v>
      </c>
      <c r="I243" s="11" t="str">
        <f>"Tháng"&amp;" "&amp;MONTH(Du_Lieu[[#This Row],[Date]])</f>
        <v>Tháng 10</v>
      </c>
      <c r="J243" s="12">
        <f t="shared" si="9"/>
        <v>266.652397260274</v>
      </c>
      <c r="K243" s="12" t="str">
        <f t="shared" si="10"/>
        <v>OTHER</v>
      </c>
      <c r="L243" s="13">
        <f t="shared" si="11"/>
        <v>1</v>
      </c>
      <c r="M243" s="15"/>
      <c r="N243" s="7">
        <f>COUNTIF(F:F,Du_Lieu[[#This Row],[Invoice]])</f>
        <v>1</v>
      </c>
    </row>
    <row r="244" spans="1:14">
      <c r="A244" s="10">
        <v>44477</v>
      </c>
      <c r="B244" s="7" t="s">
        <v>44</v>
      </c>
      <c r="C244" s="7" t="s">
        <v>59</v>
      </c>
      <c r="D244" s="7" t="s">
        <v>583</v>
      </c>
      <c r="E244" s="7" t="s">
        <v>584</v>
      </c>
      <c r="F244" s="7" t="s">
        <v>585</v>
      </c>
      <c r="G244" s="11">
        <v>1</v>
      </c>
      <c r="H244" s="11">
        <v>6229000</v>
      </c>
      <c r="I244" s="11" t="str">
        <f>"Tháng"&amp;" "&amp;MONTH(Du_Lieu[[#This Row],[Date]])</f>
        <v>Tháng 10</v>
      </c>
      <c r="J244" s="12">
        <f t="shared" si="9"/>
        <v>266.652397260274</v>
      </c>
      <c r="K244" s="12" t="str">
        <f t="shared" si="10"/>
        <v>OTHER</v>
      </c>
      <c r="L244" s="13">
        <f t="shared" si="11"/>
        <v>1</v>
      </c>
      <c r="M244" s="15"/>
      <c r="N244" s="7">
        <f>COUNTIF(F:F,Du_Lieu[[#This Row],[Invoice]])</f>
        <v>1</v>
      </c>
    </row>
    <row r="245" spans="1:14">
      <c r="A245" s="10">
        <v>44478</v>
      </c>
      <c r="B245" s="7" t="s">
        <v>44</v>
      </c>
      <c r="C245" s="7" t="s">
        <v>59</v>
      </c>
      <c r="D245" s="7" t="s">
        <v>564</v>
      </c>
      <c r="E245" s="7" t="s">
        <v>586</v>
      </c>
      <c r="F245" s="7" t="s">
        <v>587</v>
      </c>
      <c r="G245" s="11">
        <v>1</v>
      </c>
      <c r="H245" s="11">
        <v>11554000</v>
      </c>
      <c r="I245" s="11" t="str">
        <f>"Tháng"&amp;" "&amp;MONTH(Du_Lieu[[#This Row],[Date]])</f>
        <v>Tháng 10</v>
      </c>
      <c r="J245" s="12">
        <f t="shared" si="9"/>
        <v>494.606164383562</v>
      </c>
      <c r="K245" s="12" t="str">
        <f t="shared" si="10"/>
        <v>OTHER</v>
      </c>
      <c r="L245" s="13">
        <f t="shared" si="11"/>
        <v>0.5</v>
      </c>
      <c r="M245" s="15"/>
      <c r="N245" s="7">
        <f>COUNTIF(F:F,Du_Lieu[[#This Row],[Invoice]])</f>
        <v>2</v>
      </c>
    </row>
    <row r="246" spans="1:14">
      <c r="A246" s="10">
        <v>44478</v>
      </c>
      <c r="B246" s="7" t="s">
        <v>44</v>
      </c>
      <c r="C246" s="7" t="s">
        <v>59</v>
      </c>
      <c r="D246" s="7" t="s">
        <v>588</v>
      </c>
      <c r="E246" s="7" t="s">
        <v>586</v>
      </c>
      <c r="F246" s="7" t="s">
        <v>587</v>
      </c>
      <c r="G246" s="11">
        <v>1</v>
      </c>
      <c r="H246" s="11">
        <v>6229000</v>
      </c>
      <c r="I246" s="11" t="str">
        <f>"Tháng"&amp;" "&amp;MONTH(Du_Lieu[[#This Row],[Date]])</f>
        <v>Tháng 10</v>
      </c>
      <c r="J246" s="12">
        <f t="shared" si="9"/>
        <v>266.652397260274</v>
      </c>
      <c r="K246" s="12" t="str">
        <f t="shared" si="10"/>
        <v>OTHER</v>
      </c>
      <c r="L246" s="13">
        <f t="shared" si="11"/>
        <v>0.5</v>
      </c>
      <c r="M246" s="15"/>
      <c r="N246" s="7">
        <f>COUNTIF(F:F,Du_Lieu[[#This Row],[Invoice]])</f>
        <v>2</v>
      </c>
    </row>
    <row r="247" spans="1:14">
      <c r="A247" s="10">
        <v>44478</v>
      </c>
      <c r="B247" s="7" t="s">
        <v>44</v>
      </c>
      <c r="C247" s="7" t="s">
        <v>59</v>
      </c>
      <c r="D247" s="7" t="s">
        <v>484</v>
      </c>
      <c r="E247" s="7" t="s">
        <v>589</v>
      </c>
      <c r="F247" s="7" t="s">
        <v>590</v>
      </c>
      <c r="G247" s="11">
        <v>1</v>
      </c>
      <c r="H247" s="11">
        <v>10832000</v>
      </c>
      <c r="I247" s="11" t="str">
        <f>"Tháng"&amp;" "&amp;MONTH(Du_Lieu[[#This Row],[Date]])</f>
        <v>Tháng 10</v>
      </c>
      <c r="J247" s="12">
        <f t="shared" si="9"/>
        <v>463.698630136986</v>
      </c>
      <c r="K247" s="12" t="str">
        <f t="shared" si="10"/>
        <v>OTHER</v>
      </c>
      <c r="L247" s="13">
        <f t="shared" si="11"/>
        <v>1</v>
      </c>
      <c r="M247" s="15"/>
      <c r="N247" s="7">
        <f>COUNTIF(F:F,Du_Lieu[[#This Row],[Invoice]])</f>
        <v>1</v>
      </c>
    </row>
    <row r="248" spans="1:14">
      <c r="A248" s="10">
        <v>44478</v>
      </c>
      <c r="B248" s="7" t="s">
        <v>44</v>
      </c>
      <c r="C248" s="7" t="s">
        <v>59</v>
      </c>
      <c r="D248" s="7" t="s">
        <v>468</v>
      </c>
      <c r="E248" s="7" t="s">
        <v>591</v>
      </c>
      <c r="F248" s="7" t="s">
        <v>592</v>
      </c>
      <c r="G248" s="11">
        <v>1</v>
      </c>
      <c r="H248" s="11">
        <v>26176000</v>
      </c>
      <c r="I248" s="11" t="str">
        <f>"Tháng"&amp;" "&amp;MONTH(Du_Lieu[[#This Row],[Date]])</f>
        <v>Tháng 10</v>
      </c>
      <c r="J248" s="12">
        <f t="shared" si="9"/>
        <v>1120.54794520548</v>
      </c>
      <c r="K248" s="12" t="str">
        <f t="shared" si="10"/>
        <v>OTHER</v>
      </c>
      <c r="L248" s="13">
        <f t="shared" si="11"/>
        <v>1</v>
      </c>
      <c r="M248" s="15"/>
      <c r="N248" s="7">
        <f>COUNTIF(F:F,Du_Lieu[[#This Row],[Invoice]])</f>
        <v>1</v>
      </c>
    </row>
    <row r="249" spans="1:14">
      <c r="A249" s="10">
        <v>44479</v>
      </c>
      <c r="B249" s="7" t="s">
        <v>44</v>
      </c>
      <c r="C249" s="7" t="s">
        <v>59</v>
      </c>
      <c r="D249" s="7" t="s">
        <v>593</v>
      </c>
      <c r="E249" s="7" t="s">
        <v>594</v>
      </c>
      <c r="F249" s="7" t="s">
        <v>595</v>
      </c>
      <c r="G249" s="11">
        <v>1</v>
      </c>
      <c r="H249" s="11">
        <v>22566000</v>
      </c>
      <c r="I249" s="11" t="str">
        <f>"Tháng"&amp;" "&amp;MONTH(Du_Lieu[[#This Row],[Date]])</f>
        <v>Tháng 10</v>
      </c>
      <c r="J249" s="12">
        <f t="shared" si="9"/>
        <v>966.010273972603</v>
      </c>
      <c r="K249" s="12" t="str">
        <f t="shared" si="10"/>
        <v>OTHER</v>
      </c>
      <c r="L249" s="13">
        <f t="shared" si="11"/>
        <v>1</v>
      </c>
      <c r="M249" s="15"/>
      <c r="N249" s="7">
        <f>COUNTIF(F:F,Du_Lieu[[#This Row],[Invoice]])</f>
        <v>1</v>
      </c>
    </row>
    <row r="250" spans="1:14">
      <c r="A250" s="10">
        <v>44479</v>
      </c>
      <c r="B250" s="7" t="s">
        <v>200</v>
      </c>
      <c r="C250" s="7" t="s">
        <v>59</v>
      </c>
      <c r="D250" s="7" t="s">
        <v>596</v>
      </c>
      <c r="E250" s="7" t="s">
        <v>202</v>
      </c>
      <c r="F250" s="7" t="s">
        <v>597</v>
      </c>
      <c r="G250" s="11">
        <v>1</v>
      </c>
      <c r="H250" s="11">
        <v>72210000</v>
      </c>
      <c r="I250" s="11" t="str">
        <f>"Tháng"&amp;" "&amp;MONTH(Du_Lieu[[#This Row],[Date]])</f>
        <v>Tháng 10</v>
      </c>
      <c r="J250" s="12">
        <f t="shared" si="9"/>
        <v>3091.18150684932</v>
      </c>
      <c r="K250" s="12" t="str">
        <f t="shared" si="10"/>
        <v>CLIENTELING OR CT</v>
      </c>
      <c r="L250" s="13">
        <f t="shared" si="11"/>
        <v>0.333333333333333</v>
      </c>
      <c r="M250" s="15"/>
      <c r="N250" s="7">
        <f>COUNTIF(F:F,Du_Lieu[[#This Row],[Invoice]])</f>
        <v>2</v>
      </c>
    </row>
    <row r="251" spans="1:14">
      <c r="A251" s="10">
        <v>44479</v>
      </c>
      <c r="B251" s="7" t="s">
        <v>200</v>
      </c>
      <c r="C251" s="7" t="s">
        <v>59</v>
      </c>
      <c r="D251" s="7" t="s">
        <v>432</v>
      </c>
      <c r="E251" s="7" t="s">
        <v>202</v>
      </c>
      <c r="F251" s="7" t="s">
        <v>597</v>
      </c>
      <c r="G251" s="11">
        <v>1</v>
      </c>
      <c r="H251" s="11">
        <v>56865000</v>
      </c>
      <c r="I251" s="11" t="str">
        <f>"Tháng"&amp;" "&amp;MONTH(Du_Lieu[[#This Row],[Date]])</f>
        <v>Tháng 10</v>
      </c>
      <c r="J251" s="12">
        <f t="shared" si="9"/>
        <v>2434.28938356164</v>
      </c>
      <c r="K251" s="12" t="str">
        <f t="shared" si="10"/>
        <v>OTHER</v>
      </c>
      <c r="L251" s="13">
        <f t="shared" si="11"/>
        <v>0.333333333333333</v>
      </c>
      <c r="M251" s="15"/>
      <c r="N251" s="7">
        <f>COUNTIF(F:F,Du_Lieu[[#This Row],[Invoice]])</f>
        <v>2</v>
      </c>
    </row>
    <row r="252" spans="1:14">
      <c r="A252" s="10">
        <v>44480</v>
      </c>
      <c r="B252" s="7" t="s">
        <v>13</v>
      </c>
      <c r="C252" s="7" t="s">
        <v>59</v>
      </c>
      <c r="D252" s="7" t="s">
        <v>598</v>
      </c>
      <c r="E252" s="7" t="s">
        <v>599</v>
      </c>
      <c r="F252" s="7" t="s">
        <v>600</v>
      </c>
      <c r="G252" s="11">
        <v>1</v>
      </c>
      <c r="H252" s="11">
        <v>72210000</v>
      </c>
      <c r="I252" s="11" t="str">
        <f>"Tháng"&amp;" "&amp;MONTH(Du_Lieu[[#This Row],[Date]])</f>
        <v>Tháng 10</v>
      </c>
      <c r="J252" s="12">
        <f t="shared" si="9"/>
        <v>3091.18150684932</v>
      </c>
      <c r="K252" s="12" t="str">
        <f t="shared" si="10"/>
        <v>CLIENTELING OR CT</v>
      </c>
      <c r="L252" s="13">
        <f t="shared" si="11"/>
        <v>0.5</v>
      </c>
      <c r="M252" s="15"/>
      <c r="N252" s="7">
        <f>COUNTIF(F:F,Du_Lieu[[#This Row],[Invoice]])</f>
        <v>2</v>
      </c>
    </row>
    <row r="253" spans="1:14">
      <c r="A253" s="10">
        <v>44480</v>
      </c>
      <c r="B253" s="7" t="s">
        <v>13</v>
      </c>
      <c r="C253" s="7" t="s">
        <v>59</v>
      </c>
      <c r="D253" s="7" t="s">
        <v>601</v>
      </c>
      <c r="E253" s="7" t="s">
        <v>599</v>
      </c>
      <c r="F253" s="7" t="s">
        <v>600</v>
      </c>
      <c r="G253" s="11">
        <v>1</v>
      </c>
      <c r="H253" s="11">
        <v>114633000</v>
      </c>
      <c r="I253" s="11" t="str">
        <f>"Tháng"&amp;" "&amp;MONTH(Du_Lieu[[#This Row],[Date]])</f>
        <v>Tháng 10</v>
      </c>
      <c r="J253" s="12">
        <f t="shared" si="9"/>
        <v>4907.2345890411</v>
      </c>
      <c r="K253" s="12" t="str">
        <f t="shared" si="10"/>
        <v>CLIENTELING OR CT</v>
      </c>
      <c r="L253" s="13">
        <f t="shared" si="11"/>
        <v>0.5</v>
      </c>
      <c r="M253" s="15"/>
      <c r="N253" s="7">
        <f>COUNTIF(F:F,Du_Lieu[[#This Row],[Invoice]])</f>
        <v>2</v>
      </c>
    </row>
    <row r="254" spans="1:14">
      <c r="A254" s="10">
        <v>44481</v>
      </c>
      <c r="B254" s="7" t="s">
        <v>44</v>
      </c>
      <c r="C254" s="7" t="s">
        <v>59</v>
      </c>
      <c r="D254" s="7" t="s">
        <v>564</v>
      </c>
      <c r="E254" s="7" t="s">
        <v>602</v>
      </c>
      <c r="F254" s="7" t="s">
        <v>603</v>
      </c>
      <c r="G254" s="11">
        <v>1</v>
      </c>
      <c r="H254" s="11">
        <v>11554000</v>
      </c>
      <c r="I254" s="11" t="str">
        <f>"Tháng"&amp;" "&amp;MONTH(Du_Lieu[[#This Row],[Date]])</f>
        <v>Tháng 10</v>
      </c>
      <c r="J254" s="12">
        <f t="shared" si="9"/>
        <v>494.606164383562</v>
      </c>
      <c r="K254" s="12" t="str">
        <f t="shared" si="10"/>
        <v>OTHER</v>
      </c>
      <c r="L254" s="13">
        <f t="shared" si="11"/>
        <v>0.5</v>
      </c>
      <c r="M254" s="15"/>
      <c r="N254" s="7">
        <f>COUNTIF(F:F,Du_Lieu[[#This Row],[Invoice]])</f>
        <v>2</v>
      </c>
    </row>
    <row r="255" spans="1:14">
      <c r="A255" s="10">
        <v>44481</v>
      </c>
      <c r="B255" s="7" t="s">
        <v>44</v>
      </c>
      <c r="C255" s="7" t="s">
        <v>59</v>
      </c>
      <c r="D255" s="7" t="s">
        <v>588</v>
      </c>
      <c r="E255" s="7" t="s">
        <v>602</v>
      </c>
      <c r="F255" s="7" t="s">
        <v>603</v>
      </c>
      <c r="G255" s="11">
        <v>1</v>
      </c>
      <c r="H255" s="11">
        <v>6951000</v>
      </c>
      <c r="I255" s="11" t="str">
        <f>"Tháng"&amp;" "&amp;MONTH(Du_Lieu[[#This Row],[Date]])</f>
        <v>Tháng 10</v>
      </c>
      <c r="J255" s="12">
        <f t="shared" si="9"/>
        <v>297.559931506849</v>
      </c>
      <c r="K255" s="12" t="str">
        <f t="shared" si="10"/>
        <v>OTHER</v>
      </c>
      <c r="L255" s="13">
        <f t="shared" si="11"/>
        <v>0.5</v>
      </c>
      <c r="M255" s="15"/>
      <c r="N255" s="7">
        <f>COUNTIF(F:F,Du_Lieu[[#This Row],[Invoice]])</f>
        <v>2</v>
      </c>
    </row>
    <row r="256" spans="1:14">
      <c r="A256" s="10">
        <v>44481</v>
      </c>
      <c r="B256" s="7" t="s">
        <v>13</v>
      </c>
      <c r="C256" s="7" t="s">
        <v>59</v>
      </c>
      <c r="D256" s="7" t="s">
        <v>583</v>
      </c>
      <c r="E256" s="7" t="s">
        <v>604</v>
      </c>
      <c r="F256" s="7" t="s">
        <v>605</v>
      </c>
      <c r="G256" s="11">
        <v>1</v>
      </c>
      <c r="H256" s="11">
        <v>6951000</v>
      </c>
      <c r="I256" s="11" t="str">
        <f>"Tháng"&amp;" "&amp;MONTH(Du_Lieu[[#This Row],[Date]])</f>
        <v>Tháng 10</v>
      </c>
      <c r="J256" s="12">
        <f t="shared" si="9"/>
        <v>297.559931506849</v>
      </c>
      <c r="K256" s="12" t="str">
        <f t="shared" si="10"/>
        <v>OTHER</v>
      </c>
      <c r="L256" s="13">
        <f t="shared" si="11"/>
        <v>1</v>
      </c>
      <c r="M256" s="15"/>
      <c r="N256" s="7">
        <f>COUNTIF(F:F,Du_Lieu[[#This Row],[Invoice]])</f>
        <v>1</v>
      </c>
    </row>
    <row r="257" spans="1:14">
      <c r="A257" s="10">
        <v>44482</v>
      </c>
      <c r="B257" s="7" t="s">
        <v>13</v>
      </c>
      <c r="C257" s="7" t="s">
        <v>59</v>
      </c>
      <c r="D257" s="7" t="s">
        <v>606</v>
      </c>
      <c r="E257" s="7" t="s">
        <v>607</v>
      </c>
      <c r="F257" s="7" t="s">
        <v>608</v>
      </c>
      <c r="G257" s="11">
        <v>1</v>
      </c>
      <c r="H257" s="11">
        <v>51450000</v>
      </c>
      <c r="I257" s="11" t="str">
        <f>"Tháng"&amp;" "&amp;MONTH(Du_Lieu[[#This Row],[Date]])</f>
        <v>Tháng 10</v>
      </c>
      <c r="J257" s="12">
        <f t="shared" si="9"/>
        <v>2202.48287671233</v>
      </c>
      <c r="K257" s="12" t="str">
        <f t="shared" si="10"/>
        <v>OTHER</v>
      </c>
      <c r="L257" s="13">
        <f t="shared" si="11"/>
        <v>0.333333333333333</v>
      </c>
      <c r="M257" s="15"/>
      <c r="N257" s="7">
        <f>COUNTIF(F:F,Du_Lieu[[#This Row],[Invoice]])</f>
        <v>2</v>
      </c>
    </row>
    <row r="258" spans="1:14">
      <c r="A258" s="10">
        <v>44482</v>
      </c>
      <c r="B258" s="7" t="s">
        <v>13</v>
      </c>
      <c r="C258" s="7" t="s">
        <v>59</v>
      </c>
      <c r="D258" s="7" t="s">
        <v>609</v>
      </c>
      <c r="E258" s="7" t="s">
        <v>607</v>
      </c>
      <c r="F258" s="7" t="s">
        <v>608</v>
      </c>
      <c r="G258" s="11">
        <v>1</v>
      </c>
      <c r="H258" s="11">
        <v>100191000</v>
      </c>
      <c r="I258" s="11" t="str">
        <f>"Tháng"&amp;" "&amp;MONTH(Du_Lieu[[#This Row],[Date]])</f>
        <v>Tháng 10</v>
      </c>
      <c r="J258" s="12">
        <f t="shared" si="9"/>
        <v>4288.99828767123</v>
      </c>
      <c r="K258" s="12" t="str">
        <f t="shared" si="10"/>
        <v>CLIENTELING OR CT</v>
      </c>
      <c r="L258" s="13">
        <f t="shared" si="11"/>
        <v>0.333333333333333</v>
      </c>
      <c r="M258" s="15"/>
      <c r="N258" s="7">
        <f>COUNTIF(F:F,Du_Lieu[[#This Row],[Invoice]])</f>
        <v>2</v>
      </c>
    </row>
    <row r="259" spans="1:14">
      <c r="A259" s="10">
        <v>44482</v>
      </c>
      <c r="B259" s="7" t="s">
        <v>13</v>
      </c>
      <c r="C259" s="7" t="s">
        <v>59</v>
      </c>
      <c r="D259" s="7" t="s">
        <v>610</v>
      </c>
      <c r="E259" s="7" t="s">
        <v>607</v>
      </c>
      <c r="F259" s="7" t="s">
        <v>611</v>
      </c>
      <c r="G259" s="11">
        <v>1</v>
      </c>
      <c r="H259" s="11">
        <v>29787000</v>
      </c>
      <c r="I259" s="11" t="str">
        <f>"Tháng"&amp;" "&amp;MONTH(Du_Lieu[[#This Row],[Date]])</f>
        <v>Tháng 10</v>
      </c>
      <c r="J259" s="12">
        <f t="shared" ref="J259:J322" si="12">H259/$M$2</f>
        <v>1275.12842465753</v>
      </c>
      <c r="K259" s="12" t="str">
        <f t="shared" ref="K259:K322" si="13">IF(J259&gt;50000,"PLATINUM",IF(AND(J259&gt;25000,J259&lt;50000),"GOLD",IF(AND(J259&gt;10000,J259&lt;25000),"SILVER",IF(AND(J259&gt;3000,J259&lt;10000),"CLIENTELING OR CT","OTHER"))))</f>
        <v>OTHER</v>
      </c>
      <c r="L259" s="13">
        <f t="shared" ref="L259:L322" si="14">1/COUNTIF(E:E,E259)</f>
        <v>0.333333333333333</v>
      </c>
      <c r="M259" s="15"/>
      <c r="N259" s="7">
        <f>COUNTIF(F:F,Du_Lieu[[#This Row],[Invoice]])</f>
        <v>1</v>
      </c>
    </row>
    <row r="260" spans="1:14">
      <c r="A260" s="10">
        <v>44482</v>
      </c>
      <c r="B260" s="7" t="s">
        <v>44</v>
      </c>
      <c r="C260" s="7" t="s">
        <v>59</v>
      </c>
      <c r="D260" s="7" t="s">
        <v>606</v>
      </c>
      <c r="E260" s="7" t="s">
        <v>612</v>
      </c>
      <c r="F260" s="7" t="s">
        <v>613</v>
      </c>
      <c r="G260" s="11">
        <v>1</v>
      </c>
      <c r="H260" s="11">
        <v>51450000</v>
      </c>
      <c r="I260" s="11" t="str">
        <f>"Tháng"&amp;" "&amp;MONTH(Du_Lieu[[#This Row],[Date]])</f>
        <v>Tháng 10</v>
      </c>
      <c r="J260" s="12">
        <f t="shared" si="12"/>
        <v>2202.48287671233</v>
      </c>
      <c r="K260" s="12" t="str">
        <f t="shared" si="13"/>
        <v>OTHER</v>
      </c>
      <c r="L260" s="13">
        <f t="shared" si="14"/>
        <v>1</v>
      </c>
      <c r="M260" s="15"/>
      <c r="N260" s="7">
        <f>COUNTIF(F:F,Du_Lieu[[#This Row],[Invoice]])</f>
        <v>1</v>
      </c>
    </row>
    <row r="261" spans="1:14">
      <c r="A261" s="10">
        <v>44482</v>
      </c>
      <c r="B261" s="7" t="s">
        <v>13</v>
      </c>
      <c r="C261" s="7" t="s">
        <v>59</v>
      </c>
      <c r="D261" s="7" t="s">
        <v>66</v>
      </c>
      <c r="E261" s="7" t="s">
        <v>614</v>
      </c>
      <c r="F261" s="7" t="s">
        <v>615</v>
      </c>
      <c r="G261" s="11">
        <v>1</v>
      </c>
      <c r="H261" s="11">
        <v>6951000</v>
      </c>
      <c r="I261" s="11" t="str">
        <f>"Tháng"&amp;" "&amp;MONTH(Du_Lieu[[#This Row],[Date]])</f>
        <v>Tháng 10</v>
      </c>
      <c r="J261" s="12">
        <f t="shared" si="12"/>
        <v>297.559931506849</v>
      </c>
      <c r="K261" s="12" t="str">
        <f t="shared" si="13"/>
        <v>OTHER</v>
      </c>
      <c r="L261" s="13">
        <f t="shared" si="14"/>
        <v>0.5</v>
      </c>
      <c r="M261" s="15"/>
      <c r="N261" s="7">
        <f>COUNTIF(F:F,Du_Lieu[[#This Row],[Invoice]])</f>
        <v>2</v>
      </c>
    </row>
    <row r="262" spans="1:14">
      <c r="A262" s="10">
        <v>44482</v>
      </c>
      <c r="B262" s="7" t="s">
        <v>13</v>
      </c>
      <c r="C262" s="7" t="s">
        <v>59</v>
      </c>
      <c r="D262" s="7" t="s">
        <v>588</v>
      </c>
      <c r="E262" s="7" t="s">
        <v>614</v>
      </c>
      <c r="F262" s="7" t="s">
        <v>615</v>
      </c>
      <c r="G262" s="11">
        <v>1</v>
      </c>
      <c r="H262" s="11">
        <v>6951000</v>
      </c>
      <c r="I262" s="11" t="str">
        <f>"Tháng"&amp;" "&amp;MONTH(Du_Lieu[[#This Row],[Date]])</f>
        <v>Tháng 10</v>
      </c>
      <c r="J262" s="12">
        <f t="shared" si="12"/>
        <v>297.559931506849</v>
      </c>
      <c r="K262" s="12" t="str">
        <f t="shared" si="13"/>
        <v>OTHER</v>
      </c>
      <c r="L262" s="13">
        <f t="shared" si="14"/>
        <v>0.5</v>
      </c>
      <c r="M262" s="15"/>
      <c r="N262" s="7">
        <f>COUNTIF(F:F,Du_Lieu[[#This Row],[Invoice]])</f>
        <v>2</v>
      </c>
    </row>
    <row r="263" spans="1:14">
      <c r="A263" s="10">
        <v>44482</v>
      </c>
      <c r="B263" s="7" t="s">
        <v>13</v>
      </c>
      <c r="C263" s="7" t="s">
        <v>59</v>
      </c>
      <c r="D263" s="7" t="s">
        <v>616</v>
      </c>
      <c r="E263" s="7" t="s">
        <v>617</v>
      </c>
      <c r="F263" s="7" t="s">
        <v>618</v>
      </c>
      <c r="G263" s="11">
        <v>1</v>
      </c>
      <c r="H263" s="11">
        <v>56865000</v>
      </c>
      <c r="I263" s="11" t="str">
        <f>"Tháng"&amp;" "&amp;MONTH(Du_Lieu[[#This Row],[Date]])</f>
        <v>Tháng 10</v>
      </c>
      <c r="J263" s="12">
        <f t="shared" si="12"/>
        <v>2434.28938356164</v>
      </c>
      <c r="K263" s="12" t="str">
        <f t="shared" si="13"/>
        <v>OTHER</v>
      </c>
      <c r="L263" s="13">
        <f t="shared" si="14"/>
        <v>0.5</v>
      </c>
      <c r="M263" s="15"/>
      <c r="N263" s="7">
        <f>COUNTIF(F:F,Du_Lieu[[#This Row],[Invoice]])</f>
        <v>2</v>
      </c>
    </row>
    <row r="264" spans="1:14">
      <c r="A264" s="10">
        <v>44482</v>
      </c>
      <c r="B264" s="7" t="s">
        <v>13</v>
      </c>
      <c r="C264" s="7" t="s">
        <v>59</v>
      </c>
      <c r="D264" s="7" t="s">
        <v>619</v>
      </c>
      <c r="E264" s="7" t="s">
        <v>617</v>
      </c>
      <c r="F264" s="7" t="s">
        <v>618</v>
      </c>
      <c r="G264" s="11">
        <v>1</v>
      </c>
      <c r="H264" s="11">
        <v>120951000</v>
      </c>
      <c r="I264" s="11" t="str">
        <f>"Tháng"&amp;" "&amp;MONTH(Du_Lieu[[#This Row],[Date]])</f>
        <v>Tháng 10</v>
      </c>
      <c r="J264" s="12">
        <f t="shared" si="12"/>
        <v>5177.69691780822</v>
      </c>
      <c r="K264" s="12" t="str">
        <f t="shared" si="13"/>
        <v>CLIENTELING OR CT</v>
      </c>
      <c r="L264" s="13">
        <f t="shared" si="14"/>
        <v>0.5</v>
      </c>
      <c r="M264" s="15"/>
      <c r="N264" s="7">
        <f>COUNTIF(F:F,Du_Lieu[[#This Row],[Invoice]])</f>
        <v>2</v>
      </c>
    </row>
    <row r="265" spans="1:14">
      <c r="A265" s="10">
        <v>44482</v>
      </c>
      <c r="B265" s="7" t="s">
        <v>13</v>
      </c>
      <c r="C265" s="7" t="s">
        <v>59</v>
      </c>
      <c r="D265" s="7" t="s">
        <v>620</v>
      </c>
      <c r="E265" s="7" t="s">
        <v>212</v>
      </c>
      <c r="F265" s="7" t="s">
        <v>621</v>
      </c>
      <c r="G265" s="11">
        <v>1</v>
      </c>
      <c r="H265" s="11">
        <v>60476000</v>
      </c>
      <c r="I265" s="11" t="str">
        <f>"Tháng"&amp;" "&amp;MONTH(Du_Lieu[[#This Row],[Date]])</f>
        <v>Tháng 10</v>
      </c>
      <c r="J265" s="12">
        <f t="shared" si="12"/>
        <v>2588.8698630137</v>
      </c>
      <c r="K265" s="12" t="str">
        <f t="shared" si="13"/>
        <v>OTHER</v>
      </c>
      <c r="L265" s="13">
        <f t="shared" si="14"/>
        <v>0.2</v>
      </c>
      <c r="M265" s="15"/>
      <c r="N265" s="7">
        <f>COUNTIF(F:F,Du_Lieu[[#This Row],[Invoice]])</f>
        <v>2</v>
      </c>
    </row>
    <row r="266" spans="1:14">
      <c r="A266" s="10">
        <v>44482</v>
      </c>
      <c r="B266" s="7" t="s">
        <v>13</v>
      </c>
      <c r="C266" s="7" t="s">
        <v>59</v>
      </c>
      <c r="D266" s="7" t="s">
        <v>622</v>
      </c>
      <c r="E266" s="7" t="s">
        <v>212</v>
      </c>
      <c r="F266" s="7" t="s">
        <v>621</v>
      </c>
      <c r="G266" s="11">
        <v>1</v>
      </c>
      <c r="H266" s="11">
        <v>22566000</v>
      </c>
      <c r="I266" s="11" t="str">
        <f>"Tháng"&amp;" "&amp;MONTH(Du_Lieu[[#This Row],[Date]])</f>
        <v>Tháng 10</v>
      </c>
      <c r="J266" s="12">
        <f t="shared" si="12"/>
        <v>966.010273972603</v>
      </c>
      <c r="K266" s="12" t="str">
        <f t="shared" si="13"/>
        <v>OTHER</v>
      </c>
      <c r="L266" s="13">
        <f t="shared" si="14"/>
        <v>0.2</v>
      </c>
      <c r="M266" s="15"/>
      <c r="N266" s="7">
        <f>COUNTIF(F:F,Du_Lieu[[#This Row],[Invoice]])</f>
        <v>2</v>
      </c>
    </row>
    <row r="267" spans="1:14">
      <c r="A267" s="10">
        <v>44483</v>
      </c>
      <c r="B267" s="7" t="s">
        <v>13</v>
      </c>
      <c r="C267" s="7" t="s">
        <v>59</v>
      </c>
      <c r="D267" s="7" t="s">
        <v>623</v>
      </c>
      <c r="E267" s="7" t="s">
        <v>624</v>
      </c>
      <c r="F267" s="7" t="s">
        <v>625</v>
      </c>
      <c r="G267" s="11">
        <v>1</v>
      </c>
      <c r="H267" s="11">
        <v>25274000</v>
      </c>
      <c r="I267" s="11" t="str">
        <f>"Tháng"&amp;" "&amp;MONTH(Du_Lieu[[#This Row],[Date]])</f>
        <v>Tháng 10</v>
      </c>
      <c r="J267" s="12">
        <f t="shared" si="12"/>
        <v>1081.93493150685</v>
      </c>
      <c r="K267" s="12" t="str">
        <f t="shared" si="13"/>
        <v>OTHER</v>
      </c>
      <c r="L267" s="13">
        <f t="shared" si="14"/>
        <v>0.5</v>
      </c>
      <c r="M267" s="15"/>
      <c r="N267" s="7">
        <f>COUNTIF(F:F,Du_Lieu[[#This Row],[Invoice]])</f>
        <v>2</v>
      </c>
    </row>
    <row r="268" spans="1:14">
      <c r="A268" s="10">
        <v>44483</v>
      </c>
      <c r="B268" s="7" t="s">
        <v>13</v>
      </c>
      <c r="C268" s="7" t="s">
        <v>59</v>
      </c>
      <c r="D268" s="7" t="s">
        <v>626</v>
      </c>
      <c r="E268" s="7" t="s">
        <v>624</v>
      </c>
      <c r="F268" s="7" t="s">
        <v>625</v>
      </c>
      <c r="G268" s="11">
        <v>1</v>
      </c>
      <c r="H268" s="11">
        <v>29787000</v>
      </c>
      <c r="I268" s="11" t="str">
        <f>"Tháng"&amp;" "&amp;MONTH(Du_Lieu[[#This Row],[Date]])</f>
        <v>Tháng 10</v>
      </c>
      <c r="J268" s="12">
        <f t="shared" si="12"/>
        <v>1275.12842465753</v>
      </c>
      <c r="K268" s="12" t="str">
        <f t="shared" si="13"/>
        <v>OTHER</v>
      </c>
      <c r="L268" s="13">
        <f t="shared" si="14"/>
        <v>0.5</v>
      </c>
      <c r="M268" s="15"/>
      <c r="N268" s="7">
        <f>COUNTIF(F:F,Du_Lieu[[#This Row],[Invoice]])</f>
        <v>2</v>
      </c>
    </row>
    <row r="269" spans="1:14">
      <c r="A269" s="10">
        <v>44483</v>
      </c>
      <c r="B269" s="7" t="s">
        <v>44</v>
      </c>
      <c r="C269" s="7" t="s">
        <v>59</v>
      </c>
      <c r="D269" s="7" t="s">
        <v>520</v>
      </c>
      <c r="E269" s="7" t="s">
        <v>627</v>
      </c>
      <c r="F269" s="7" t="s">
        <v>628</v>
      </c>
      <c r="G269" s="11">
        <v>1</v>
      </c>
      <c r="H269" s="11">
        <v>6951000</v>
      </c>
      <c r="I269" s="11" t="str">
        <f>"Tháng"&amp;" "&amp;MONTH(Du_Lieu[[#This Row],[Date]])</f>
        <v>Tháng 10</v>
      </c>
      <c r="J269" s="12">
        <f t="shared" si="12"/>
        <v>297.559931506849</v>
      </c>
      <c r="K269" s="12" t="str">
        <f t="shared" si="13"/>
        <v>OTHER</v>
      </c>
      <c r="L269" s="13">
        <f t="shared" si="14"/>
        <v>1</v>
      </c>
      <c r="M269" s="15"/>
      <c r="N269" s="7">
        <f>COUNTIF(F:F,Du_Lieu[[#This Row],[Invoice]])</f>
        <v>1</v>
      </c>
    </row>
    <row r="270" spans="1:14">
      <c r="A270" s="10">
        <v>44483</v>
      </c>
      <c r="B270" s="7" t="s">
        <v>13</v>
      </c>
      <c r="C270" s="7" t="s">
        <v>59</v>
      </c>
      <c r="D270" s="7" t="s">
        <v>629</v>
      </c>
      <c r="E270" s="7" t="s">
        <v>156</v>
      </c>
      <c r="F270" s="7" t="s">
        <v>630</v>
      </c>
      <c r="G270" s="11">
        <v>1</v>
      </c>
      <c r="H270" s="11">
        <v>109217000</v>
      </c>
      <c r="I270" s="11" t="str">
        <f>"Tháng"&amp;" "&amp;MONTH(Du_Lieu[[#This Row],[Date]])</f>
        <v>Tháng 10</v>
      </c>
      <c r="J270" s="12">
        <f t="shared" si="12"/>
        <v>4675.3852739726</v>
      </c>
      <c r="K270" s="12" t="str">
        <f t="shared" si="13"/>
        <v>CLIENTELING OR CT</v>
      </c>
      <c r="L270" s="13">
        <f t="shared" si="14"/>
        <v>0.25</v>
      </c>
      <c r="M270" s="15"/>
      <c r="N270" s="7">
        <f>COUNTIF(F:F,Du_Lieu[[#This Row],[Invoice]])</f>
        <v>1</v>
      </c>
    </row>
    <row r="271" spans="1:14">
      <c r="A271" s="10">
        <v>44483</v>
      </c>
      <c r="B271" s="7" t="s">
        <v>44</v>
      </c>
      <c r="C271" s="7" t="s">
        <v>59</v>
      </c>
      <c r="D271" s="7" t="s">
        <v>631</v>
      </c>
      <c r="E271" s="7" t="s">
        <v>632</v>
      </c>
      <c r="F271" s="7" t="s">
        <v>633</v>
      </c>
      <c r="G271" s="11">
        <v>1</v>
      </c>
      <c r="H271" s="11">
        <v>13179000</v>
      </c>
      <c r="I271" s="11" t="str">
        <f>"Tháng"&amp;" "&amp;MONTH(Du_Lieu[[#This Row],[Date]])</f>
        <v>Tháng 10</v>
      </c>
      <c r="J271" s="12">
        <f t="shared" si="12"/>
        <v>564.169520547945</v>
      </c>
      <c r="K271" s="12" t="str">
        <f t="shared" si="13"/>
        <v>OTHER</v>
      </c>
      <c r="L271" s="13">
        <f t="shared" si="14"/>
        <v>1</v>
      </c>
      <c r="M271" s="15"/>
      <c r="N271" s="7">
        <f>COUNTIF(F:F,Du_Lieu[[#This Row],[Invoice]])</f>
        <v>1</v>
      </c>
    </row>
    <row r="272" spans="1:14">
      <c r="A272" s="10">
        <v>44484</v>
      </c>
      <c r="B272" s="7" t="s">
        <v>13</v>
      </c>
      <c r="C272" s="7" t="s">
        <v>59</v>
      </c>
      <c r="D272" s="7" t="s">
        <v>634</v>
      </c>
      <c r="E272" s="7" t="s">
        <v>635</v>
      </c>
      <c r="F272" s="7" t="s">
        <v>636</v>
      </c>
      <c r="G272" s="11">
        <v>1</v>
      </c>
      <c r="H272" s="11">
        <v>77626000</v>
      </c>
      <c r="I272" s="11" t="str">
        <f>"Tháng"&amp;" "&amp;MONTH(Du_Lieu[[#This Row],[Date]])</f>
        <v>Tháng 10</v>
      </c>
      <c r="J272" s="12">
        <f t="shared" si="12"/>
        <v>3323.03082191781</v>
      </c>
      <c r="K272" s="12" t="str">
        <f t="shared" si="13"/>
        <v>CLIENTELING OR CT</v>
      </c>
      <c r="L272" s="13">
        <f t="shared" si="14"/>
        <v>0.5</v>
      </c>
      <c r="M272" s="15"/>
      <c r="N272" s="7">
        <f>COUNTIF(F:F,Du_Lieu[[#This Row],[Invoice]])</f>
        <v>2</v>
      </c>
    </row>
    <row r="273" spans="1:14">
      <c r="A273" s="10">
        <v>44484</v>
      </c>
      <c r="B273" s="7" t="s">
        <v>13</v>
      </c>
      <c r="C273" s="7" t="s">
        <v>59</v>
      </c>
      <c r="D273" s="7" t="s">
        <v>637</v>
      </c>
      <c r="E273" s="7" t="s">
        <v>635</v>
      </c>
      <c r="F273" s="7" t="s">
        <v>636</v>
      </c>
      <c r="G273" s="11">
        <v>1</v>
      </c>
      <c r="H273" s="11">
        <v>60476000</v>
      </c>
      <c r="I273" s="11" t="str">
        <f>"Tháng"&amp;" "&amp;MONTH(Du_Lieu[[#This Row],[Date]])</f>
        <v>Tháng 10</v>
      </c>
      <c r="J273" s="12">
        <f t="shared" si="12"/>
        <v>2588.8698630137</v>
      </c>
      <c r="K273" s="12" t="str">
        <f t="shared" si="13"/>
        <v>OTHER</v>
      </c>
      <c r="L273" s="13">
        <f t="shared" si="14"/>
        <v>0.5</v>
      </c>
      <c r="M273" s="15"/>
      <c r="N273" s="7">
        <f>COUNTIF(F:F,Du_Lieu[[#This Row],[Invoice]])</f>
        <v>2</v>
      </c>
    </row>
    <row r="274" spans="1:14">
      <c r="A274" s="10">
        <v>44484</v>
      </c>
      <c r="B274" s="7" t="s">
        <v>13</v>
      </c>
      <c r="C274" s="7" t="s">
        <v>59</v>
      </c>
      <c r="D274" s="7" t="s">
        <v>366</v>
      </c>
      <c r="E274" s="7" t="s">
        <v>638</v>
      </c>
      <c r="F274" s="7" t="s">
        <v>639</v>
      </c>
      <c r="G274" s="11">
        <v>1</v>
      </c>
      <c r="H274" s="11">
        <v>6951000</v>
      </c>
      <c r="I274" s="11" t="str">
        <f>"Tháng"&amp;" "&amp;MONTH(Du_Lieu[[#This Row],[Date]])</f>
        <v>Tháng 10</v>
      </c>
      <c r="J274" s="12">
        <f t="shared" si="12"/>
        <v>297.559931506849</v>
      </c>
      <c r="K274" s="12" t="str">
        <f t="shared" si="13"/>
        <v>OTHER</v>
      </c>
      <c r="L274" s="13">
        <f t="shared" si="14"/>
        <v>1</v>
      </c>
      <c r="M274" s="15"/>
      <c r="N274" s="7">
        <f>COUNTIF(F:F,Du_Lieu[[#This Row],[Invoice]])</f>
        <v>1</v>
      </c>
    </row>
    <row r="275" spans="1:14">
      <c r="A275" s="10">
        <v>44484</v>
      </c>
      <c r="B275" s="7" t="s">
        <v>13</v>
      </c>
      <c r="C275" s="7" t="s">
        <v>59</v>
      </c>
      <c r="D275" s="7" t="s">
        <v>640</v>
      </c>
      <c r="E275" s="7" t="s">
        <v>641</v>
      </c>
      <c r="F275" s="7" t="s">
        <v>642</v>
      </c>
      <c r="G275" s="11">
        <v>1</v>
      </c>
      <c r="H275" s="11">
        <v>114633000</v>
      </c>
      <c r="I275" s="11" t="str">
        <f>"Tháng"&amp;" "&amp;MONTH(Du_Lieu[[#This Row],[Date]])</f>
        <v>Tháng 10</v>
      </c>
      <c r="J275" s="12">
        <f t="shared" si="12"/>
        <v>4907.2345890411</v>
      </c>
      <c r="K275" s="12" t="str">
        <f t="shared" si="13"/>
        <v>CLIENTELING OR CT</v>
      </c>
      <c r="L275" s="13">
        <f t="shared" si="14"/>
        <v>0.5</v>
      </c>
      <c r="M275" s="15"/>
      <c r="N275" s="7">
        <f>COUNTIF(F:F,Du_Lieu[[#This Row],[Invoice]])</f>
        <v>2</v>
      </c>
    </row>
    <row r="276" spans="1:14">
      <c r="A276" s="10">
        <v>44484</v>
      </c>
      <c r="B276" s="7" t="s">
        <v>13</v>
      </c>
      <c r="C276" s="7" t="s">
        <v>59</v>
      </c>
      <c r="D276" s="7" t="s">
        <v>643</v>
      </c>
      <c r="E276" s="7" t="s">
        <v>641</v>
      </c>
      <c r="F276" s="7" t="s">
        <v>642</v>
      </c>
      <c r="G276" s="11">
        <v>1</v>
      </c>
      <c r="H276" s="11">
        <v>56865000</v>
      </c>
      <c r="I276" s="11" t="str">
        <f>"Tháng"&amp;" "&amp;MONTH(Du_Lieu[[#This Row],[Date]])</f>
        <v>Tháng 10</v>
      </c>
      <c r="J276" s="12">
        <f t="shared" si="12"/>
        <v>2434.28938356164</v>
      </c>
      <c r="K276" s="12" t="str">
        <f t="shared" si="13"/>
        <v>OTHER</v>
      </c>
      <c r="L276" s="13">
        <f t="shared" si="14"/>
        <v>0.5</v>
      </c>
      <c r="M276" s="15"/>
      <c r="N276" s="7">
        <f>COUNTIF(F:F,Du_Lieu[[#This Row],[Invoice]])</f>
        <v>2</v>
      </c>
    </row>
    <row r="277" spans="1:14">
      <c r="A277" s="10">
        <v>44485</v>
      </c>
      <c r="B277" s="7" t="s">
        <v>44</v>
      </c>
      <c r="C277" s="7" t="s">
        <v>59</v>
      </c>
      <c r="D277" s="7" t="s">
        <v>644</v>
      </c>
      <c r="E277" s="7" t="s">
        <v>645</v>
      </c>
      <c r="F277" s="7" t="s">
        <v>646</v>
      </c>
      <c r="G277" s="11">
        <v>1</v>
      </c>
      <c r="H277" s="11">
        <v>48742000</v>
      </c>
      <c r="I277" s="11" t="str">
        <f>"Tháng"&amp;" "&amp;MONTH(Du_Lieu[[#This Row],[Date]])</f>
        <v>Tháng 10</v>
      </c>
      <c r="J277" s="12">
        <f t="shared" si="12"/>
        <v>2086.55821917808</v>
      </c>
      <c r="K277" s="12" t="str">
        <f t="shared" si="13"/>
        <v>OTHER</v>
      </c>
      <c r="L277" s="13">
        <f t="shared" si="14"/>
        <v>1</v>
      </c>
      <c r="M277" s="15"/>
      <c r="N277" s="7">
        <f>COUNTIF(F:F,Du_Lieu[[#This Row],[Invoice]])</f>
        <v>1</v>
      </c>
    </row>
    <row r="278" spans="1:14">
      <c r="A278" s="10">
        <v>44485</v>
      </c>
      <c r="B278" s="7" t="s">
        <v>44</v>
      </c>
      <c r="C278" s="7" t="s">
        <v>59</v>
      </c>
      <c r="D278" s="7" t="s">
        <v>647</v>
      </c>
      <c r="E278" s="7" t="s">
        <v>648</v>
      </c>
      <c r="F278" s="7" t="s">
        <v>649</v>
      </c>
      <c r="G278" s="11">
        <v>1</v>
      </c>
      <c r="H278" s="11">
        <v>46034000</v>
      </c>
      <c r="I278" s="11" t="str">
        <f>"Tháng"&amp;" "&amp;MONTH(Du_Lieu[[#This Row],[Date]])</f>
        <v>Tháng 10</v>
      </c>
      <c r="J278" s="12">
        <f t="shared" si="12"/>
        <v>1970.63356164384</v>
      </c>
      <c r="K278" s="12" t="str">
        <f t="shared" si="13"/>
        <v>OTHER</v>
      </c>
      <c r="L278" s="13">
        <f t="shared" si="14"/>
        <v>1</v>
      </c>
      <c r="M278" s="15"/>
      <c r="N278" s="7">
        <f>COUNTIF(F:F,Du_Lieu[[#This Row],[Invoice]])</f>
        <v>1</v>
      </c>
    </row>
    <row r="279" spans="1:14">
      <c r="A279" s="10">
        <v>44485</v>
      </c>
      <c r="B279" s="7" t="s">
        <v>44</v>
      </c>
      <c r="C279" s="7" t="s">
        <v>59</v>
      </c>
      <c r="D279" s="7" t="s">
        <v>412</v>
      </c>
      <c r="E279" s="7" t="s">
        <v>650</v>
      </c>
      <c r="F279" s="7" t="s">
        <v>651</v>
      </c>
      <c r="G279" s="11">
        <v>1</v>
      </c>
      <c r="H279" s="11">
        <v>36105000</v>
      </c>
      <c r="I279" s="11" t="str">
        <f>"Tháng"&amp;" "&amp;MONTH(Du_Lieu[[#This Row],[Date]])</f>
        <v>Tháng 10</v>
      </c>
      <c r="J279" s="12">
        <f t="shared" si="12"/>
        <v>1545.59075342466</v>
      </c>
      <c r="K279" s="12" t="str">
        <f t="shared" si="13"/>
        <v>OTHER</v>
      </c>
      <c r="L279" s="13">
        <f t="shared" si="14"/>
        <v>1</v>
      </c>
      <c r="M279" s="15"/>
      <c r="N279" s="7">
        <f>COUNTIF(F:F,Du_Lieu[[#This Row],[Invoice]])</f>
        <v>1</v>
      </c>
    </row>
    <row r="280" spans="1:14">
      <c r="A280" s="10">
        <v>44486</v>
      </c>
      <c r="B280" s="7" t="s">
        <v>44</v>
      </c>
      <c r="C280" s="7" t="s">
        <v>59</v>
      </c>
      <c r="D280" s="7" t="s">
        <v>66</v>
      </c>
      <c r="E280" s="7" t="s">
        <v>652</v>
      </c>
      <c r="F280" s="7" t="s">
        <v>653</v>
      </c>
      <c r="G280" s="11">
        <v>1</v>
      </c>
      <c r="H280" s="11">
        <v>6951000</v>
      </c>
      <c r="I280" s="11" t="str">
        <f>"Tháng"&amp;" "&amp;MONTH(Du_Lieu[[#This Row],[Date]])</f>
        <v>Tháng 10</v>
      </c>
      <c r="J280" s="12">
        <f t="shared" si="12"/>
        <v>297.559931506849</v>
      </c>
      <c r="K280" s="12" t="str">
        <f t="shared" si="13"/>
        <v>OTHER</v>
      </c>
      <c r="L280" s="13">
        <f t="shared" si="14"/>
        <v>1</v>
      </c>
      <c r="M280" s="15"/>
      <c r="N280" s="7">
        <f>COUNTIF(F:F,Du_Lieu[[#This Row],[Invoice]])</f>
        <v>1</v>
      </c>
    </row>
    <row r="281" spans="1:14">
      <c r="A281" s="10">
        <v>44486</v>
      </c>
      <c r="B281" s="7" t="s">
        <v>44</v>
      </c>
      <c r="C281" s="7" t="s">
        <v>59</v>
      </c>
      <c r="D281" s="7" t="s">
        <v>468</v>
      </c>
      <c r="E281" s="7" t="s">
        <v>654</v>
      </c>
      <c r="F281" s="7" t="s">
        <v>655</v>
      </c>
      <c r="G281" s="11">
        <v>1</v>
      </c>
      <c r="H281" s="11">
        <v>26176000</v>
      </c>
      <c r="I281" s="11" t="str">
        <f>"Tháng"&amp;" "&amp;MONTH(Du_Lieu[[#This Row],[Date]])</f>
        <v>Tháng 10</v>
      </c>
      <c r="J281" s="12">
        <f t="shared" si="12"/>
        <v>1120.54794520548</v>
      </c>
      <c r="K281" s="12" t="str">
        <f t="shared" si="13"/>
        <v>OTHER</v>
      </c>
      <c r="L281" s="13">
        <f t="shared" si="14"/>
        <v>1</v>
      </c>
      <c r="M281" s="15"/>
      <c r="N281" s="7">
        <f>COUNTIF(F:F,Du_Lieu[[#This Row],[Invoice]])</f>
        <v>1</v>
      </c>
    </row>
    <row r="282" spans="1:14">
      <c r="A282" s="10">
        <v>44486</v>
      </c>
      <c r="B282" s="7" t="s">
        <v>13</v>
      </c>
      <c r="C282" s="7" t="s">
        <v>59</v>
      </c>
      <c r="D282" s="7" t="s">
        <v>656</v>
      </c>
      <c r="E282" s="7" t="s">
        <v>657</v>
      </c>
      <c r="F282" s="7" t="s">
        <v>658</v>
      </c>
      <c r="G282" s="11">
        <v>1</v>
      </c>
      <c r="H282" s="11">
        <v>148030000</v>
      </c>
      <c r="I282" s="11" t="str">
        <f>"Tháng"&amp;" "&amp;MONTH(Du_Lieu[[#This Row],[Date]])</f>
        <v>Tháng 10</v>
      </c>
      <c r="J282" s="12">
        <f t="shared" si="12"/>
        <v>6336.90068493151</v>
      </c>
      <c r="K282" s="12" t="str">
        <f t="shared" si="13"/>
        <v>CLIENTELING OR CT</v>
      </c>
      <c r="L282" s="13">
        <f t="shared" si="14"/>
        <v>0.5</v>
      </c>
      <c r="M282" s="15"/>
      <c r="N282" s="7">
        <f>COUNTIF(F:F,Du_Lieu[[#This Row],[Invoice]])</f>
        <v>2</v>
      </c>
    </row>
    <row r="283" spans="1:14">
      <c r="A283" s="10">
        <v>44486</v>
      </c>
      <c r="B283" s="7" t="s">
        <v>13</v>
      </c>
      <c r="C283" s="7" t="s">
        <v>59</v>
      </c>
      <c r="D283" s="7" t="s">
        <v>105</v>
      </c>
      <c r="E283" s="7" t="s">
        <v>657</v>
      </c>
      <c r="F283" s="7" t="s">
        <v>658</v>
      </c>
      <c r="G283" s="11">
        <v>1</v>
      </c>
      <c r="H283" s="11">
        <v>9388000</v>
      </c>
      <c r="I283" s="11" t="str">
        <f>"Tháng"&amp;" "&amp;MONTH(Du_Lieu[[#This Row],[Date]])</f>
        <v>Tháng 10</v>
      </c>
      <c r="J283" s="12">
        <f t="shared" si="12"/>
        <v>401.883561643836</v>
      </c>
      <c r="K283" s="12" t="str">
        <f t="shared" si="13"/>
        <v>OTHER</v>
      </c>
      <c r="L283" s="13">
        <f t="shared" si="14"/>
        <v>0.5</v>
      </c>
      <c r="M283" s="15"/>
      <c r="N283" s="7">
        <f>COUNTIF(F:F,Du_Lieu[[#This Row],[Invoice]])</f>
        <v>2</v>
      </c>
    </row>
    <row r="284" spans="1:14">
      <c r="A284" s="10">
        <v>44486</v>
      </c>
      <c r="B284" s="7" t="s">
        <v>13</v>
      </c>
      <c r="C284" s="7" t="s">
        <v>59</v>
      </c>
      <c r="D284" s="7" t="s">
        <v>659</v>
      </c>
      <c r="E284" s="7" t="s">
        <v>660</v>
      </c>
      <c r="F284" s="7" t="s">
        <v>661</v>
      </c>
      <c r="G284" s="11">
        <v>1</v>
      </c>
      <c r="H284" s="11">
        <v>92067000</v>
      </c>
      <c r="I284" s="11" t="str">
        <f>"Tháng"&amp;" "&amp;MONTH(Du_Lieu[[#This Row],[Date]])</f>
        <v>Tháng 10</v>
      </c>
      <c r="J284" s="12">
        <f t="shared" si="12"/>
        <v>3941.22431506849</v>
      </c>
      <c r="K284" s="12" t="str">
        <f t="shared" si="13"/>
        <v>CLIENTELING OR CT</v>
      </c>
      <c r="L284" s="13">
        <f t="shared" si="14"/>
        <v>1</v>
      </c>
      <c r="M284" s="15"/>
      <c r="N284" s="7">
        <f>COUNTIF(F:F,Du_Lieu[[#This Row],[Invoice]])</f>
        <v>1</v>
      </c>
    </row>
    <row r="285" spans="1:14">
      <c r="A285" s="10">
        <v>44486</v>
      </c>
      <c r="B285" s="7" t="s">
        <v>44</v>
      </c>
      <c r="C285" s="7" t="s">
        <v>59</v>
      </c>
      <c r="D285" s="7" t="s">
        <v>662</v>
      </c>
      <c r="E285" s="7" t="s">
        <v>663</v>
      </c>
      <c r="F285" s="7" t="s">
        <v>664</v>
      </c>
      <c r="G285" s="11">
        <v>1</v>
      </c>
      <c r="H285" s="11">
        <v>7763000</v>
      </c>
      <c r="I285" s="11" t="str">
        <f>"Tháng"&amp;" "&amp;MONTH(Du_Lieu[[#This Row],[Date]])</f>
        <v>Tháng 10</v>
      </c>
      <c r="J285" s="12">
        <f t="shared" si="12"/>
        <v>332.320205479452</v>
      </c>
      <c r="K285" s="12" t="str">
        <f t="shared" si="13"/>
        <v>OTHER</v>
      </c>
      <c r="L285" s="13">
        <f t="shared" si="14"/>
        <v>1</v>
      </c>
      <c r="M285" s="15"/>
      <c r="N285" s="7">
        <f>COUNTIF(F:F,Du_Lieu[[#This Row],[Invoice]])</f>
        <v>1</v>
      </c>
    </row>
    <row r="286" spans="1:14">
      <c r="A286" s="10">
        <v>44486</v>
      </c>
      <c r="B286" s="7" t="s">
        <v>15</v>
      </c>
      <c r="C286" s="7" t="s">
        <v>59</v>
      </c>
      <c r="D286" s="7" t="s">
        <v>268</v>
      </c>
      <c r="E286" s="7" t="s">
        <v>665</v>
      </c>
      <c r="F286" s="7" t="s">
        <v>666</v>
      </c>
      <c r="G286" s="11">
        <v>1</v>
      </c>
      <c r="H286" s="11">
        <v>92067000</v>
      </c>
      <c r="I286" s="11" t="str">
        <f>"Tháng"&amp;" "&amp;MONTH(Du_Lieu[[#This Row],[Date]])</f>
        <v>Tháng 10</v>
      </c>
      <c r="J286" s="12">
        <f t="shared" si="12"/>
        <v>3941.22431506849</v>
      </c>
      <c r="K286" s="12" t="str">
        <f t="shared" si="13"/>
        <v>CLIENTELING OR CT</v>
      </c>
      <c r="L286" s="13">
        <f t="shared" si="14"/>
        <v>1</v>
      </c>
      <c r="M286" s="15"/>
      <c r="N286" s="7">
        <f>COUNTIF(F:F,Du_Lieu[[#This Row],[Invoice]])</f>
        <v>1</v>
      </c>
    </row>
    <row r="287" spans="1:14">
      <c r="A287" s="10">
        <v>44486</v>
      </c>
      <c r="B287" s="7" t="s">
        <v>13</v>
      </c>
      <c r="C287" s="7" t="s">
        <v>59</v>
      </c>
      <c r="D287" s="7" t="s">
        <v>268</v>
      </c>
      <c r="E287" s="7" t="s">
        <v>667</v>
      </c>
      <c r="F287" s="7" t="s">
        <v>668</v>
      </c>
      <c r="G287" s="11">
        <v>1</v>
      </c>
      <c r="H287" s="11">
        <v>92067000</v>
      </c>
      <c r="I287" s="11" t="str">
        <f>"Tháng"&amp;" "&amp;MONTH(Du_Lieu[[#This Row],[Date]])</f>
        <v>Tháng 10</v>
      </c>
      <c r="J287" s="12">
        <f t="shared" si="12"/>
        <v>3941.22431506849</v>
      </c>
      <c r="K287" s="12" t="str">
        <f t="shared" si="13"/>
        <v>CLIENTELING OR CT</v>
      </c>
      <c r="L287" s="13">
        <f t="shared" si="14"/>
        <v>0.5</v>
      </c>
      <c r="M287" s="15"/>
      <c r="N287" s="7">
        <f>COUNTIF(F:F,Du_Lieu[[#This Row],[Invoice]])</f>
        <v>1</v>
      </c>
    </row>
    <row r="288" spans="1:14">
      <c r="A288" s="10">
        <v>44486</v>
      </c>
      <c r="B288" s="7" t="s">
        <v>13</v>
      </c>
      <c r="C288" s="7" t="s">
        <v>59</v>
      </c>
      <c r="D288" s="7" t="s">
        <v>669</v>
      </c>
      <c r="E288" s="7" t="s">
        <v>670</v>
      </c>
      <c r="F288" s="7" t="s">
        <v>671</v>
      </c>
      <c r="G288" s="11">
        <v>1</v>
      </c>
      <c r="H288" s="11">
        <v>200381000</v>
      </c>
      <c r="I288" s="11" t="str">
        <f>"Tháng"&amp;" "&amp;MONTH(Du_Lieu[[#This Row],[Date]])</f>
        <v>Tháng 10</v>
      </c>
      <c r="J288" s="12">
        <f t="shared" si="12"/>
        <v>8577.95376712329</v>
      </c>
      <c r="K288" s="12" t="str">
        <f t="shared" si="13"/>
        <v>CLIENTELING OR CT</v>
      </c>
      <c r="L288" s="13">
        <f t="shared" si="14"/>
        <v>1</v>
      </c>
      <c r="M288" s="15"/>
      <c r="N288" s="7">
        <f>COUNTIF(F:F,Du_Lieu[[#This Row],[Invoice]])</f>
        <v>1</v>
      </c>
    </row>
    <row r="289" spans="1:14">
      <c r="A289" s="10">
        <v>44486</v>
      </c>
      <c r="B289" s="7" t="s">
        <v>15</v>
      </c>
      <c r="C289" s="7" t="s">
        <v>59</v>
      </c>
      <c r="D289" s="7" t="s">
        <v>250</v>
      </c>
      <c r="E289" s="7" t="s">
        <v>672</v>
      </c>
      <c r="F289" s="7" t="s">
        <v>673</v>
      </c>
      <c r="G289" s="11">
        <v>1</v>
      </c>
      <c r="H289" s="11">
        <v>79431000</v>
      </c>
      <c r="I289" s="11" t="str">
        <f>"Tháng"&amp;" "&amp;MONTH(Du_Lieu[[#This Row],[Date]])</f>
        <v>Tháng 10</v>
      </c>
      <c r="J289" s="12">
        <f t="shared" si="12"/>
        <v>3400.29965753425</v>
      </c>
      <c r="K289" s="12" t="str">
        <f t="shared" si="13"/>
        <v>CLIENTELING OR CT</v>
      </c>
      <c r="L289" s="13">
        <f t="shared" si="14"/>
        <v>0.5</v>
      </c>
      <c r="M289" s="15"/>
      <c r="N289" s="7">
        <f>COUNTIF(F:F,Du_Lieu[[#This Row],[Invoice]])</f>
        <v>2</v>
      </c>
    </row>
    <row r="290" spans="1:14">
      <c r="A290" s="10">
        <v>44486</v>
      </c>
      <c r="B290" s="7" t="s">
        <v>15</v>
      </c>
      <c r="C290" s="7" t="s">
        <v>59</v>
      </c>
      <c r="D290" s="7" t="s">
        <v>674</v>
      </c>
      <c r="E290" s="7" t="s">
        <v>672</v>
      </c>
      <c r="F290" s="7" t="s">
        <v>673</v>
      </c>
      <c r="G290" s="11">
        <v>1</v>
      </c>
      <c r="H290" s="11">
        <v>70405000</v>
      </c>
      <c r="I290" s="11" t="str">
        <f>"Tháng"&amp;" "&amp;MONTH(Du_Lieu[[#This Row],[Date]])</f>
        <v>Tháng 10</v>
      </c>
      <c r="J290" s="12">
        <f t="shared" si="12"/>
        <v>3013.91267123288</v>
      </c>
      <c r="K290" s="12" t="str">
        <f t="shared" si="13"/>
        <v>CLIENTELING OR CT</v>
      </c>
      <c r="L290" s="13">
        <f t="shared" si="14"/>
        <v>0.5</v>
      </c>
      <c r="M290" s="15"/>
      <c r="N290" s="7">
        <f>COUNTIF(F:F,Du_Lieu[[#This Row],[Invoice]])</f>
        <v>2</v>
      </c>
    </row>
    <row r="291" spans="1:14">
      <c r="A291" s="10">
        <v>44486</v>
      </c>
      <c r="B291" s="7" t="s">
        <v>13</v>
      </c>
      <c r="C291" s="7" t="s">
        <v>59</v>
      </c>
      <c r="D291" s="7" t="s">
        <v>675</v>
      </c>
      <c r="E291" s="7" t="s">
        <v>676</v>
      </c>
      <c r="F291" s="7" t="s">
        <v>677</v>
      </c>
      <c r="G291" s="11">
        <v>1</v>
      </c>
      <c r="H291" s="11">
        <v>160666000</v>
      </c>
      <c r="I291" s="11" t="str">
        <f>"Tháng"&amp;" "&amp;MONTH(Du_Lieu[[#This Row],[Date]])</f>
        <v>Tháng 10</v>
      </c>
      <c r="J291" s="12">
        <f t="shared" si="12"/>
        <v>6877.82534246575</v>
      </c>
      <c r="K291" s="12" t="str">
        <f t="shared" si="13"/>
        <v>CLIENTELING OR CT</v>
      </c>
      <c r="L291" s="13">
        <f t="shared" si="14"/>
        <v>0.5</v>
      </c>
      <c r="M291" s="15"/>
      <c r="N291" s="7">
        <f>COUNTIF(F:F,Du_Lieu[[#This Row],[Invoice]])</f>
        <v>2</v>
      </c>
    </row>
    <row r="292" spans="1:14">
      <c r="A292" s="10">
        <v>44486</v>
      </c>
      <c r="B292" s="7" t="s">
        <v>13</v>
      </c>
      <c r="C292" s="7" t="s">
        <v>59</v>
      </c>
      <c r="D292" s="7" t="s">
        <v>678</v>
      </c>
      <c r="E292" s="7" t="s">
        <v>676</v>
      </c>
      <c r="F292" s="7" t="s">
        <v>677</v>
      </c>
      <c r="G292" s="11">
        <v>1</v>
      </c>
      <c r="H292" s="11">
        <v>572260000</v>
      </c>
      <c r="I292" s="11" t="str">
        <f>"Tháng"&amp;" "&amp;MONTH(Du_Lieu[[#This Row],[Date]])</f>
        <v>Tháng 10</v>
      </c>
      <c r="J292" s="12">
        <f t="shared" si="12"/>
        <v>24497.4315068493</v>
      </c>
      <c r="K292" s="12" t="str">
        <f t="shared" si="13"/>
        <v>SILVER</v>
      </c>
      <c r="L292" s="13">
        <f t="shared" si="14"/>
        <v>0.5</v>
      </c>
      <c r="M292" s="15"/>
      <c r="N292" s="7">
        <f>COUNTIF(F:F,Du_Lieu[[#This Row],[Invoice]])</f>
        <v>2</v>
      </c>
    </row>
    <row r="293" spans="1:14">
      <c r="A293" s="10">
        <v>44487</v>
      </c>
      <c r="B293" s="7" t="s">
        <v>13</v>
      </c>
      <c r="C293" s="7" t="s">
        <v>59</v>
      </c>
      <c r="D293" s="7" t="s">
        <v>679</v>
      </c>
      <c r="E293" s="7" t="s">
        <v>680</v>
      </c>
      <c r="F293" s="7" t="s">
        <v>681</v>
      </c>
      <c r="G293" s="11">
        <v>1</v>
      </c>
      <c r="H293" s="11">
        <v>330358000</v>
      </c>
      <c r="I293" s="11" t="str">
        <f>"Tháng"&amp;" "&amp;MONTH(Du_Lieu[[#This Row],[Date]])</f>
        <v>Tháng 10</v>
      </c>
      <c r="J293" s="12">
        <f t="shared" si="12"/>
        <v>14142.0376712329</v>
      </c>
      <c r="K293" s="12" t="str">
        <f t="shared" si="13"/>
        <v>SILVER</v>
      </c>
      <c r="L293" s="13">
        <f t="shared" si="14"/>
        <v>1</v>
      </c>
      <c r="M293" s="15"/>
      <c r="N293" s="7">
        <f>COUNTIF(F:F,Du_Lieu[[#This Row],[Invoice]])</f>
        <v>1</v>
      </c>
    </row>
    <row r="294" spans="1:14">
      <c r="A294" s="10">
        <v>44487</v>
      </c>
      <c r="B294" s="7" t="s">
        <v>13</v>
      </c>
      <c r="C294" s="7" t="s">
        <v>59</v>
      </c>
      <c r="D294" s="7" t="s">
        <v>682</v>
      </c>
      <c r="E294" s="7" t="s">
        <v>171</v>
      </c>
      <c r="F294" s="7" t="s">
        <v>683</v>
      </c>
      <c r="G294" s="11">
        <v>1</v>
      </c>
      <c r="H294" s="11">
        <v>74015000</v>
      </c>
      <c r="I294" s="11" t="str">
        <f>"Tháng"&amp;" "&amp;MONTH(Du_Lieu[[#This Row],[Date]])</f>
        <v>Tháng 10</v>
      </c>
      <c r="J294" s="12">
        <f t="shared" si="12"/>
        <v>3168.45034246575</v>
      </c>
      <c r="K294" s="12" t="str">
        <f t="shared" si="13"/>
        <v>CLIENTELING OR CT</v>
      </c>
      <c r="L294" s="13">
        <f t="shared" si="14"/>
        <v>0.333333333333333</v>
      </c>
      <c r="M294" s="15"/>
      <c r="N294" s="7">
        <f>COUNTIF(F:F,Du_Lieu[[#This Row],[Invoice]])</f>
        <v>1</v>
      </c>
    </row>
    <row r="295" spans="1:14">
      <c r="A295" s="10">
        <v>44487</v>
      </c>
      <c r="B295" s="7" t="s">
        <v>13</v>
      </c>
      <c r="C295" s="7" t="s">
        <v>59</v>
      </c>
      <c r="D295" s="7" t="s">
        <v>684</v>
      </c>
      <c r="E295" s="7" t="s">
        <v>685</v>
      </c>
      <c r="F295" s="7" t="s">
        <v>686</v>
      </c>
      <c r="G295" s="11">
        <v>1</v>
      </c>
      <c r="H295" s="11">
        <v>159764000</v>
      </c>
      <c r="I295" s="11" t="str">
        <f>"Tháng"&amp;" "&amp;MONTH(Du_Lieu[[#This Row],[Date]])</f>
        <v>Tháng 10</v>
      </c>
      <c r="J295" s="12">
        <f t="shared" si="12"/>
        <v>6839.21232876712</v>
      </c>
      <c r="K295" s="12" t="str">
        <f t="shared" si="13"/>
        <v>CLIENTELING OR CT</v>
      </c>
      <c r="L295" s="13">
        <f t="shared" si="14"/>
        <v>1</v>
      </c>
      <c r="M295" s="15"/>
      <c r="N295" s="7">
        <f>COUNTIF(F:F,Du_Lieu[[#This Row],[Invoice]])</f>
        <v>1</v>
      </c>
    </row>
    <row r="296" spans="1:14">
      <c r="A296" s="10">
        <v>44488</v>
      </c>
      <c r="B296" s="7" t="s">
        <v>44</v>
      </c>
      <c r="C296" s="7" t="s">
        <v>59</v>
      </c>
      <c r="D296" s="7" t="s">
        <v>520</v>
      </c>
      <c r="E296" s="7" t="s">
        <v>687</v>
      </c>
      <c r="F296" s="7" t="s">
        <v>688</v>
      </c>
      <c r="G296" s="11">
        <v>1</v>
      </c>
      <c r="H296" s="11">
        <v>6951000</v>
      </c>
      <c r="I296" s="11" t="str">
        <f>"Tháng"&amp;" "&amp;MONTH(Du_Lieu[[#This Row],[Date]])</f>
        <v>Tháng 10</v>
      </c>
      <c r="J296" s="12">
        <f t="shared" si="12"/>
        <v>297.559931506849</v>
      </c>
      <c r="K296" s="12" t="str">
        <f t="shared" si="13"/>
        <v>OTHER</v>
      </c>
      <c r="L296" s="13">
        <f t="shared" si="14"/>
        <v>1</v>
      </c>
      <c r="M296" s="15"/>
      <c r="N296" s="7">
        <f>COUNTIF(F:F,Du_Lieu[[#This Row],[Invoice]])</f>
        <v>1</v>
      </c>
    </row>
    <row r="297" spans="1:14">
      <c r="A297" s="10">
        <v>44488</v>
      </c>
      <c r="B297" s="7" t="s">
        <v>44</v>
      </c>
      <c r="C297" s="7" t="s">
        <v>59</v>
      </c>
      <c r="D297" s="7" t="s">
        <v>689</v>
      </c>
      <c r="E297" s="7" t="s">
        <v>690</v>
      </c>
      <c r="F297" s="7" t="s">
        <v>691</v>
      </c>
      <c r="G297" s="11">
        <v>1</v>
      </c>
      <c r="H297" s="11">
        <v>6951000</v>
      </c>
      <c r="I297" s="11" t="str">
        <f>"Tháng"&amp;" "&amp;MONTH(Du_Lieu[[#This Row],[Date]])</f>
        <v>Tháng 10</v>
      </c>
      <c r="J297" s="12">
        <f t="shared" si="12"/>
        <v>297.559931506849</v>
      </c>
      <c r="K297" s="12" t="str">
        <f t="shared" si="13"/>
        <v>OTHER</v>
      </c>
      <c r="L297" s="13">
        <f t="shared" si="14"/>
        <v>1</v>
      </c>
      <c r="M297" s="15"/>
      <c r="N297" s="7">
        <f>COUNTIF(F:F,Du_Lieu[[#This Row],[Invoice]])</f>
        <v>1</v>
      </c>
    </row>
    <row r="298" spans="1:14">
      <c r="A298" s="10">
        <v>44488</v>
      </c>
      <c r="B298" s="7" t="s">
        <v>15</v>
      </c>
      <c r="C298" s="7" t="s">
        <v>59</v>
      </c>
      <c r="D298" s="7" t="s">
        <v>692</v>
      </c>
      <c r="E298" s="7" t="s">
        <v>693</v>
      </c>
      <c r="F298" s="7" t="s">
        <v>694</v>
      </c>
      <c r="G298" s="11">
        <v>1</v>
      </c>
      <c r="H298" s="11">
        <v>60476000</v>
      </c>
      <c r="I298" s="11" t="str">
        <f>"Tháng"&amp;" "&amp;MONTH(Du_Lieu[[#This Row],[Date]])</f>
        <v>Tháng 10</v>
      </c>
      <c r="J298" s="12">
        <f t="shared" si="12"/>
        <v>2588.8698630137</v>
      </c>
      <c r="K298" s="12" t="str">
        <f t="shared" si="13"/>
        <v>OTHER</v>
      </c>
      <c r="L298" s="13">
        <f t="shared" si="14"/>
        <v>1</v>
      </c>
      <c r="M298" s="15"/>
      <c r="N298" s="7">
        <f>COUNTIF(F:F,Du_Lieu[[#This Row],[Invoice]])</f>
        <v>1</v>
      </c>
    </row>
    <row r="299" spans="1:14">
      <c r="A299" s="10">
        <v>44488</v>
      </c>
      <c r="B299" s="7" t="s">
        <v>44</v>
      </c>
      <c r="C299" s="7" t="s">
        <v>59</v>
      </c>
      <c r="D299" s="7" t="s">
        <v>695</v>
      </c>
      <c r="E299" s="7" t="s">
        <v>696</v>
      </c>
      <c r="F299" s="7" t="s">
        <v>697</v>
      </c>
      <c r="G299" s="11">
        <v>1</v>
      </c>
      <c r="H299" s="11">
        <v>21663000</v>
      </c>
      <c r="I299" s="11" t="str">
        <f>"Tháng"&amp;" "&amp;MONTH(Du_Lieu[[#This Row],[Date]])</f>
        <v>Tháng 10</v>
      </c>
      <c r="J299" s="12">
        <f t="shared" si="12"/>
        <v>927.354452054794</v>
      </c>
      <c r="K299" s="12" t="str">
        <f t="shared" si="13"/>
        <v>OTHER</v>
      </c>
      <c r="L299" s="13">
        <f t="shared" si="14"/>
        <v>1</v>
      </c>
      <c r="M299" s="15"/>
      <c r="N299" s="7">
        <f>COUNTIF(F:F,Du_Lieu[[#This Row],[Invoice]])</f>
        <v>1</v>
      </c>
    </row>
    <row r="300" spans="1:14">
      <c r="A300" s="10">
        <v>44488</v>
      </c>
      <c r="B300" s="7" t="s">
        <v>13</v>
      </c>
      <c r="C300" s="7" t="s">
        <v>59</v>
      </c>
      <c r="D300" s="7" t="s">
        <v>231</v>
      </c>
      <c r="E300" s="7" t="s">
        <v>698</v>
      </c>
      <c r="F300" s="7" t="s">
        <v>699</v>
      </c>
      <c r="G300" s="11">
        <v>1</v>
      </c>
      <c r="H300" s="11">
        <v>64989000</v>
      </c>
      <c r="I300" s="11" t="str">
        <f>"Tháng"&amp;" "&amp;MONTH(Du_Lieu[[#This Row],[Date]])</f>
        <v>Tháng 10</v>
      </c>
      <c r="J300" s="12">
        <f t="shared" si="12"/>
        <v>2782.06335616438</v>
      </c>
      <c r="K300" s="12" t="str">
        <f t="shared" si="13"/>
        <v>OTHER</v>
      </c>
      <c r="L300" s="13">
        <f t="shared" si="14"/>
        <v>0.333333333333333</v>
      </c>
      <c r="M300" s="15"/>
      <c r="N300" s="7">
        <f>COUNTIF(F:F,Du_Lieu[[#This Row],[Invoice]])</f>
        <v>2</v>
      </c>
    </row>
    <row r="301" spans="1:14">
      <c r="A301" s="10">
        <v>44488</v>
      </c>
      <c r="B301" s="7" t="s">
        <v>13</v>
      </c>
      <c r="C301" s="7" t="s">
        <v>59</v>
      </c>
      <c r="D301" s="7" t="s">
        <v>700</v>
      </c>
      <c r="E301" s="7" t="s">
        <v>698</v>
      </c>
      <c r="F301" s="7" t="s">
        <v>699</v>
      </c>
      <c r="G301" s="11">
        <v>1</v>
      </c>
      <c r="H301" s="11">
        <v>22566000</v>
      </c>
      <c r="I301" s="11" t="str">
        <f>"Tháng"&amp;" "&amp;MONTH(Du_Lieu[[#This Row],[Date]])</f>
        <v>Tháng 10</v>
      </c>
      <c r="J301" s="12">
        <f t="shared" si="12"/>
        <v>966.010273972603</v>
      </c>
      <c r="K301" s="12" t="str">
        <f t="shared" si="13"/>
        <v>OTHER</v>
      </c>
      <c r="L301" s="13">
        <f t="shared" si="14"/>
        <v>0.333333333333333</v>
      </c>
      <c r="M301" s="15"/>
      <c r="N301" s="7">
        <f>COUNTIF(F:F,Du_Lieu[[#This Row],[Invoice]])</f>
        <v>2</v>
      </c>
    </row>
    <row r="302" spans="1:14">
      <c r="A302" s="10">
        <v>44488</v>
      </c>
      <c r="B302" s="7" t="s">
        <v>200</v>
      </c>
      <c r="C302" s="7" t="s">
        <v>59</v>
      </c>
      <c r="D302" s="7" t="s">
        <v>601</v>
      </c>
      <c r="E302" s="7" t="s">
        <v>701</v>
      </c>
      <c r="F302" s="7" t="s">
        <v>702</v>
      </c>
      <c r="G302" s="11">
        <v>1</v>
      </c>
      <c r="H302" s="11">
        <v>114633000</v>
      </c>
      <c r="I302" s="11" t="str">
        <f>"Tháng"&amp;" "&amp;MONTH(Du_Lieu[[#This Row],[Date]])</f>
        <v>Tháng 10</v>
      </c>
      <c r="J302" s="12">
        <f t="shared" si="12"/>
        <v>4907.2345890411</v>
      </c>
      <c r="K302" s="12" t="str">
        <f t="shared" si="13"/>
        <v>CLIENTELING OR CT</v>
      </c>
      <c r="L302" s="13">
        <f t="shared" si="14"/>
        <v>1</v>
      </c>
      <c r="M302" s="15"/>
      <c r="N302" s="7">
        <f>COUNTIF(F:F,Du_Lieu[[#This Row],[Invoice]])</f>
        <v>1</v>
      </c>
    </row>
    <row r="303" spans="1:14">
      <c r="A303" s="10">
        <v>44489</v>
      </c>
      <c r="B303" s="7" t="s">
        <v>44</v>
      </c>
      <c r="C303" s="7" t="s">
        <v>59</v>
      </c>
      <c r="D303" s="7" t="s">
        <v>366</v>
      </c>
      <c r="E303" s="7" t="s">
        <v>703</v>
      </c>
      <c r="F303" s="7" t="s">
        <v>704</v>
      </c>
      <c r="G303" s="11">
        <v>1</v>
      </c>
      <c r="H303" s="11">
        <v>6951000</v>
      </c>
      <c r="I303" s="11" t="str">
        <f>"Tháng"&amp;" "&amp;MONTH(Du_Lieu[[#This Row],[Date]])</f>
        <v>Tháng 10</v>
      </c>
      <c r="J303" s="12">
        <f t="shared" si="12"/>
        <v>297.559931506849</v>
      </c>
      <c r="K303" s="12" t="str">
        <f t="shared" si="13"/>
        <v>OTHER</v>
      </c>
      <c r="L303" s="13">
        <f t="shared" si="14"/>
        <v>1</v>
      </c>
      <c r="M303" s="15"/>
      <c r="N303" s="7">
        <f>COUNTIF(F:F,Du_Lieu[[#This Row],[Invoice]])</f>
        <v>1</v>
      </c>
    </row>
    <row r="304" spans="1:14">
      <c r="A304" s="10">
        <v>44489</v>
      </c>
      <c r="B304" s="7" t="s">
        <v>15</v>
      </c>
      <c r="C304" s="7" t="s">
        <v>59</v>
      </c>
      <c r="D304" s="7" t="s">
        <v>705</v>
      </c>
      <c r="E304" s="7" t="s">
        <v>706</v>
      </c>
      <c r="F304" s="7" t="s">
        <v>707</v>
      </c>
      <c r="G304" s="11">
        <v>1</v>
      </c>
      <c r="H304" s="11">
        <v>26176000</v>
      </c>
      <c r="I304" s="11" t="str">
        <f>"Tháng"&amp;" "&amp;MONTH(Du_Lieu[[#This Row],[Date]])</f>
        <v>Tháng 10</v>
      </c>
      <c r="J304" s="12">
        <f t="shared" si="12"/>
        <v>1120.54794520548</v>
      </c>
      <c r="K304" s="12" t="str">
        <f t="shared" si="13"/>
        <v>OTHER</v>
      </c>
      <c r="L304" s="13">
        <f t="shared" si="14"/>
        <v>1</v>
      </c>
      <c r="M304" s="15"/>
      <c r="N304" s="7">
        <f>COUNTIF(F:F,Du_Lieu[[#This Row],[Invoice]])</f>
        <v>1</v>
      </c>
    </row>
    <row r="305" spans="1:14">
      <c r="A305" s="10">
        <v>44489</v>
      </c>
      <c r="B305" s="7" t="s">
        <v>44</v>
      </c>
      <c r="C305" s="7" t="s">
        <v>59</v>
      </c>
      <c r="D305" s="7" t="s">
        <v>356</v>
      </c>
      <c r="E305" s="7" t="s">
        <v>708</v>
      </c>
      <c r="F305" s="7" t="s">
        <v>709</v>
      </c>
      <c r="G305" s="11">
        <v>1</v>
      </c>
      <c r="H305" s="11">
        <v>40618000</v>
      </c>
      <c r="I305" s="11" t="str">
        <f>"Tháng"&amp;" "&amp;MONTH(Du_Lieu[[#This Row],[Date]])</f>
        <v>Tháng 10</v>
      </c>
      <c r="J305" s="12">
        <f t="shared" si="12"/>
        <v>1738.78424657534</v>
      </c>
      <c r="K305" s="12" t="str">
        <f t="shared" si="13"/>
        <v>OTHER</v>
      </c>
      <c r="L305" s="13">
        <f t="shared" si="14"/>
        <v>1</v>
      </c>
      <c r="M305" s="15"/>
      <c r="N305" s="7">
        <f>COUNTIF(F:F,Du_Lieu[[#This Row],[Invoice]])</f>
        <v>1</v>
      </c>
    </row>
    <row r="306" spans="1:14">
      <c r="A306" s="10">
        <v>44489</v>
      </c>
      <c r="B306" s="7" t="s">
        <v>13</v>
      </c>
      <c r="C306" s="7" t="s">
        <v>59</v>
      </c>
      <c r="D306" s="7" t="s">
        <v>710</v>
      </c>
      <c r="E306" s="7" t="s">
        <v>698</v>
      </c>
      <c r="F306" s="7" t="s">
        <v>711</v>
      </c>
      <c r="G306" s="11">
        <v>1</v>
      </c>
      <c r="H306" s="11">
        <v>256344000</v>
      </c>
      <c r="I306" s="11" t="str">
        <f>"Tháng"&amp;" "&amp;MONTH(Du_Lieu[[#This Row],[Date]])</f>
        <v>Tháng 10</v>
      </c>
      <c r="J306" s="12">
        <f t="shared" si="12"/>
        <v>10973.6301369863</v>
      </c>
      <c r="K306" s="12" t="str">
        <f t="shared" si="13"/>
        <v>SILVER</v>
      </c>
      <c r="L306" s="13">
        <f t="shared" si="14"/>
        <v>0.333333333333333</v>
      </c>
      <c r="M306" s="15"/>
      <c r="N306" s="7">
        <f>COUNTIF(F:F,Du_Lieu[[#This Row],[Invoice]])</f>
        <v>1</v>
      </c>
    </row>
    <row r="307" spans="1:14">
      <c r="A307" s="10">
        <v>44489</v>
      </c>
      <c r="B307" s="7" t="s">
        <v>44</v>
      </c>
      <c r="C307" s="7" t="s">
        <v>59</v>
      </c>
      <c r="D307" s="7" t="s">
        <v>712</v>
      </c>
      <c r="E307" s="7" t="s">
        <v>713</v>
      </c>
      <c r="F307" s="7" t="s">
        <v>714</v>
      </c>
      <c r="G307" s="11">
        <v>1</v>
      </c>
      <c r="H307" s="11">
        <v>6951000</v>
      </c>
      <c r="I307" s="11" t="str">
        <f>"Tháng"&amp;" "&amp;MONTH(Du_Lieu[[#This Row],[Date]])</f>
        <v>Tháng 10</v>
      </c>
      <c r="J307" s="12">
        <f t="shared" si="12"/>
        <v>297.559931506849</v>
      </c>
      <c r="K307" s="12" t="str">
        <f t="shared" si="13"/>
        <v>OTHER</v>
      </c>
      <c r="L307" s="13">
        <f t="shared" si="14"/>
        <v>1</v>
      </c>
      <c r="M307" s="15"/>
      <c r="N307" s="7">
        <f>COUNTIF(F:F,Du_Lieu[[#This Row],[Invoice]])</f>
        <v>1</v>
      </c>
    </row>
    <row r="308" spans="1:14">
      <c r="A308" s="10">
        <v>44489</v>
      </c>
      <c r="B308" s="7" t="s">
        <v>13</v>
      </c>
      <c r="C308" s="7" t="s">
        <v>59</v>
      </c>
      <c r="D308" s="7" t="s">
        <v>640</v>
      </c>
      <c r="E308" s="7" t="s">
        <v>715</v>
      </c>
      <c r="F308" s="7" t="s">
        <v>716</v>
      </c>
      <c r="G308" s="11">
        <v>1</v>
      </c>
      <c r="H308" s="11">
        <v>114633000</v>
      </c>
      <c r="I308" s="11" t="str">
        <f>"Tháng"&amp;" "&amp;MONTH(Du_Lieu[[#This Row],[Date]])</f>
        <v>Tháng 10</v>
      </c>
      <c r="J308" s="12">
        <f t="shared" si="12"/>
        <v>4907.2345890411</v>
      </c>
      <c r="K308" s="12" t="str">
        <f t="shared" si="13"/>
        <v>CLIENTELING OR CT</v>
      </c>
      <c r="L308" s="13">
        <f t="shared" si="14"/>
        <v>0.5</v>
      </c>
      <c r="M308" s="15"/>
      <c r="N308" s="7">
        <f>COUNTIF(F:F,Du_Lieu[[#This Row],[Invoice]])</f>
        <v>2</v>
      </c>
    </row>
    <row r="309" spans="1:14">
      <c r="A309" s="10">
        <v>44489</v>
      </c>
      <c r="B309" s="7" t="s">
        <v>13</v>
      </c>
      <c r="C309" s="7" t="s">
        <v>59</v>
      </c>
      <c r="D309" s="7" t="s">
        <v>80</v>
      </c>
      <c r="E309" s="7" t="s">
        <v>715</v>
      </c>
      <c r="F309" s="7" t="s">
        <v>716</v>
      </c>
      <c r="G309" s="11">
        <v>1</v>
      </c>
      <c r="H309" s="11">
        <v>6951000</v>
      </c>
      <c r="I309" s="11" t="str">
        <f>"Tháng"&amp;" "&amp;MONTH(Du_Lieu[[#This Row],[Date]])</f>
        <v>Tháng 10</v>
      </c>
      <c r="J309" s="12">
        <f t="shared" si="12"/>
        <v>297.559931506849</v>
      </c>
      <c r="K309" s="12" t="str">
        <f t="shared" si="13"/>
        <v>OTHER</v>
      </c>
      <c r="L309" s="13">
        <f t="shared" si="14"/>
        <v>0.5</v>
      </c>
      <c r="M309" s="15"/>
      <c r="N309" s="7">
        <f>COUNTIF(F:F,Du_Lieu[[#This Row],[Invoice]])</f>
        <v>2</v>
      </c>
    </row>
    <row r="310" spans="1:14">
      <c r="A310" s="10">
        <v>44489</v>
      </c>
      <c r="B310" s="7" t="s">
        <v>13</v>
      </c>
      <c r="C310" s="7" t="s">
        <v>59</v>
      </c>
      <c r="D310" s="7" t="s">
        <v>717</v>
      </c>
      <c r="E310" s="7" t="s">
        <v>718</v>
      </c>
      <c r="F310" s="7" t="s">
        <v>719</v>
      </c>
      <c r="G310" s="11">
        <v>1</v>
      </c>
      <c r="H310" s="11">
        <v>103801000</v>
      </c>
      <c r="I310" s="11" t="str">
        <f>"Tháng"&amp;" "&amp;MONTH(Du_Lieu[[#This Row],[Date]])</f>
        <v>Tháng 10</v>
      </c>
      <c r="J310" s="12">
        <f t="shared" si="12"/>
        <v>4443.53595890411</v>
      </c>
      <c r="K310" s="12" t="str">
        <f t="shared" si="13"/>
        <v>CLIENTELING OR CT</v>
      </c>
      <c r="L310" s="13">
        <f t="shared" si="14"/>
        <v>1</v>
      </c>
      <c r="M310" s="15"/>
      <c r="N310" s="7">
        <f>COUNTIF(F:F,Du_Lieu[[#This Row],[Invoice]])</f>
        <v>1</v>
      </c>
    </row>
    <row r="311" spans="1:14">
      <c r="A311" s="10">
        <v>44489</v>
      </c>
      <c r="B311" s="7" t="s">
        <v>44</v>
      </c>
      <c r="C311" s="7" t="s">
        <v>59</v>
      </c>
      <c r="D311" s="7" t="s">
        <v>720</v>
      </c>
      <c r="E311" s="7" t="s">
        <v>721</v>
      </c>
      <c r="F311" s="7" t="s">
        <v>722</v>
      </c>
      <c r="G311" s="11">
        <v>1</v>
      </c>
      <c r="H311" s="11">
        <v>50547000</v>
      </c>
      <c r="I311" s="11" t="str">
        <f>"Tháng"&amp;" "&amp;MONTH(Du_Lieu[[#This Row],[Date]])</f>
        <v>Tháng 10</v>
      </c>
      <c r="J311" s="12">
        <f t="shared" si="12"/>
        <v>2163.82705479452</v>
      </c>
      <c r="K311" s="12" t="str">
        <f t="shared" si="13"/>
        <v>OTHER</v>
      </c>
      <c r="L311" s="13">
        <f t="shared" si="14"/>
        <v>1</v>
      </c>
      <c r="M311" s="15"/>
      <c r="N311" s="7">
        <f>COUNTIF(F:F,Du_Lieu[[#This Row],[Invoice]])</f>
        <v>1</v>
      </c>
    </row>
    <row r="312" spans="1:14">
      <c r="A312" s="10">
        <v>44490</v>
      </c>
      <c r="B312" s="7" t="s">
        <v>44</v>
      </c>
      <c r="C312" s="7" t="s">
        <v>59</v>
      </c>
      <c r="D312" s="7" t="s">
        <v>674</v>
      </c>
      <c r="E312" s="7" t="s">
        <v>723</v>
      </c>
      <c r="F312" s="7" t="s">
        <v>724</v>
      </c>
      <c r="G312" s="11">
        <v>1</v>
      </c>
      <c r="H312" s="11">
        <v>70405000</v>
      </c>
      <c r="I312" s="11" t="str">
        <f>"Tháng"&amp;" "&amp;MONTH(Du_Lieu[[#This Row],[Date]])</f>
        <v>Tháng 10</v>
      </c>
      <c r="J312" s="12">
        <f t="shared" si="12"/>
        <v>3013.91267123288</v>
      </c>
      <c r="K312" s="12" t="str">
        <f t="shared" si="13"/>
        <v>CLIENTELING OR CT</v>
      </c>
      <c r="L312" s="13">
        <f t="shared" si="14"/>
        <v>1</v>
      </c>
      <c r="M312" s="15"/>
      <c r="N312" s="7">
        <f>COUNTIF(F:F,Du_Lieu[[#This Row],[Invoice]])</f>
        <v>1</v>
      </c>
    </row>
    <row r="313" spans="1:14">
      <c r="A313" s="10">
        <v>44490</v>
      </c>
      <c r="B313" s="7" t="s">
        <v>44</v>
      </c>
      <c r="C313" s="7" t="s">
        <v>59</v>
      </c>
      <c r="D313" s="7" t="s">
        <v>243</v>
      </c>
      <c r="E313" s="7" t="s">
        <v>725</v>
      </c>
      <c r="F313" s="7" t="s">
        <v>726</v>
      </c>
      <c r="G313" s="11">
        <v>1</v>
      </c>
      <c r="H313" s="11">
        <v>26176000</v>
      </c>
      <c r="I313" s="11" t="str">
        <f>"Tháng"&amp;" "&amp;MONTH(Du_Lieu[[#This Row],[Date]])</f>
        <v>Tháng 10</v>
      </c>
      <c r="J313" s="12">
        <f t="shared" si="12"/>
        <v>1120.54794520548</v>
      </c>
      <c r="K313" s="12" t="str">
        <f t="shared" si="13"/>
        <v>OTHER</v>
      </c>
      <c r="L313" s="13">
        <f t="shared" si="14"/>
        <v>1</v>
      </c>
      <c r="M313" s="15"/>
      <c r="N313" s="7">
        <f>COUNTIF(F:F,Du_Lieu[[#This Row],[Invoice]])</f>
        <v>1</v>
      </c>
    </row>
    <row r="314" spans="1:14">
      <c r="A314" s="10">
        <v>44491</v>
      </c>
      <c r="B314" s="7" t="s">
        <v>15</v>
      </c>
      <c r="C314" s="7" t="s">
        <v>59</v>
      </c>
      <c r="D314" s="7" t="s">
        <v>727</v>
      </c>
      <c r="E314" s="7" t="s">
        <v>728</v>
      </c>
      <c r="F314" s="7" t="s">
        <v>729</v>
      </c>
      <c r="G314" s="11">
        <v>1</v>
      </c>
      <c r="H314" s="11">
        <v>13179000</v>
      </c>
      <c r="I314" s="11" t="str">
        <f>"Tháng"&amp;" "&amp;MONTH(Du_Lieu[[#This Row],[Date]])</f>
        <v>Tháng 10</v>
      </c>
      <c r="J314" s="12">
        <f t="shared" si="12"/>
        <v>564.169520547945</v>
      </c>
      <c r="K314" s="12" t="str">
        <f t="shared" si="13"/>
        <v>OTHER</v>
      </c>
      <c r="L314" s="13">
        <f t="shared" si="14"/>
        <v>0.5</v>
      </c>
      <c r="M314" s="15"/>
      <c r="N314" s="7">
        <f>COUNTIF(F:F,Du_Lieu[[#This Row],[Invoice]])</f>
        <v>2</v>
      </c>
    </row>
    <row r="315" spans="1:14">
      <c r="A315" s="10">
        <v>44491</v>
      </c>
      <c r="B315" s="7" t="s">
        <v>15</v>
      </c>
      <c r="C315" s="7" t="s">
        <v>59</v>
      </c>
      <c r="D315" s="7" t="s">
        <v>730</v>
      </c>
      <c r="E315" s="7" t="s">
        <v>728</v>
      </c>
      <c r="F315" s="7" t="s">
        <v>729</v>
      </c>
      <c r="G315" s="11">
        <v>1</v>
      </c>
      <c r="H315" s="11">
        <v>11554000</v>
      </c>
      <c r="I315" s="11" t="str">
        <f>"Tháng"&amp;" "&amp;MONTH(Du_Lieu[[#This Row],[Date]])</f>
        <v>Tháng 10</v>
      </c>
      <c r="J315" s="12">
        <f t="shared" si="12"/>
        <v>494.606164383562</v>
      </c>
      <c r="K315" s="12" t="str">
        <f t="shared" si="13"/>
        <v>OTHER</v>
      </c>
      <c r="L315" s="13">
        <f t="shared" si="14"/>
        <v>0.5</v>
      </c>
      <c r="M315" s="15"/>
      <c r="N315" s="7">
        <f>COUNTIF(F:F,Du_Lieu[[#This Row],[Invoice]])</f>
        <v>2</v>
      </c>
    </row>
    <row r="316" spans="1:14">
      <c r="A316" s="10">
        <v>44491</v>
      </c>
      <c r="B316" s="7" t="s">
        <v>13</v>
      </c>
      <c r="C316" s="7" t="s">
        <v>59</v>
      </c>
      <c r="D316" s="7" t="s">
        <v>731</v>
      </c>
      <c r="E316" s="7" t="s">
        <v>732</v>
      </c>
      <c r="F316" s="7" t="s">
        <v>733</v>
      </c>
      <c r="G316" s="11">
        <v>1</v>
      </c>
      <c r="H316" s="11">
        <v>68599000</v>
      </c>
      <c r="I316" s="11" t="str">
        <f>"Tháng"&amp;" "&amp;MONTH(Du_Lieu[[#This Row],[Date]])</f>
        <v>Tháng 10</v>
      </c>
      <c r="J316" s="12">
        <f t="shared" si="12"/>
        <v>2936.60102739726</v>
      </c>
      <c r="K316" s="12" t="str">
        <f t="shared" si="13"/>
        <v>OTHER</v>
      </c>
      <c r="L316" s="13">
        <f t="shared" si="14"/>
        <v>1</v>
      </c>
      <c r="M316" s="15"/>
      <c r="N316" s="7">
        <f>COUNTIF(F:F,Du_Lieu[[#This Row],[Invoice]])</f>
        <v>1</v>
      </c>
    </row>
    <row r="317" spans="1:14">
      <c r="A317" s="10">
        <v>44492</v>
      </c>
      <c r="B317" s="7" t="s">
        <v>44</v>
      </c>
      <c r="C317" s="7" t="s">
        <v>59</v>
      </c>
      <c r="D317" s="7" t="s">
        <v>356</v>
      </c>
      <c r="E317" s="7" t="s">
        <v>734</v>
      </c>
      <c r="F317" s="7" t="s">
        <v>735</v>
      </c>
      <c r="G317" s="11">
        <v>1</v>
      </c>
      <c r="H317" s="11">
        <v>40618000</v>
      </c>
      <c r="I317" s="11" t="str">
        <f>"Tháng"&amp;" "&amp;MONTH(Du_Lieu[[#This Row],[Date]])</f>
        <v>Tháng 10</v>
      </c>
      <c r="J317" s="12">
        <f t="shared" si="12"/>
        <v>1738.78424657534</v>
      </c>
      <c r="K317" s="12" t="str">
        <f t="shared" si="13"/>
        <v>OTHER</v>
      </c>
      <c r="L317" s="13">
        <f t="shared" si="14"/>
        <v>1</v>
      </c>
      <c r="M317" s="15"/>
      <c r="N317" s="7">
        <f>COUNTIF(F:F,Du_Lieu[[#This Row],[Invoice]])</f>
        <v>1</v>
      </c>
    </row>
    <row r="318" spans="1:14">
      <c r="A318" s="10">
        <v>44492</v>
      </c>
      <c r="B318" s="7" t="s">
        <v>44</v>
      </c>
      <c r="C318" s="7" t="s">
        <v>59</v>
      </c>
      <c r="D318" s="7" t="s">
        <v>403</v>
      </c>
      <c r="E318" s="7" t="s">
        <v>736</v>
      </c>
      <c r="F318" s="7" t="s">
        <v>737</v>
      </c>
      <c r="G318" s="11">
        <v>1</v>
      </c>
      <c r="H318" s="11">
        <v>26176000</v>
      </c>
      <c r="I318" s="11" t="str">
        <f>"Tháng"&amp;" "&amp;MONTH(Du_Lieu[[#This Row],[Date]])</f>
        <v>Tháng 10</v>
      </c>
      <c r="J318" s="12">
        <f t="shared" si="12"/>
        <v>1120.54794520548</v>
      </c>
      <c r="K318" s="12" t="str">
        <f t="shared" si="13"/>
        <v>OTHER</v>
      </c>
      <c r="L318" s="13">
        <f t="shared" si="14"/>
        <v>1</v>
      </c>
      <c r="M318" s="15"/>
      <c r="N318" s="7">
        <f>COUNTIF(F:F,Du_Lieu[[#This Row],[Invoice]])</f>
        <v>1</v>
      </c>
    </row>
    <row r="319" spans="1:14">
      <c r="A319" s="10">
        <v>44492</v>
      </c>
      <c r="B319" s="7" t="s">
        <v>13</v>
      </c>
      <c r="C319" s="7" t="s">
        <v>59</v>
      </c>
      <c r="D319" s="7" t="s">
        <v>738</v>
      </c>
      <c r="E319" s="7" t="s">
        <v>393</v>
      </c>
      <c r="F319" s="7" t="s">
        <v>739</v>
      </c>
      <c r="G319" s="11">
        <v>1</v>
      </c>
      <c r="H319" s="11">
        <v>6951000</v>
      </c>
      <c r="I319" s="11" t="str">
        <f>"Tháng"&amp;" "&amp;MONTH(Du_Lieu[[#This Row],[Date]])</f>
        <v>Tháng 10</v>
      </c>
      <c r="J319" s="12">
        <f t="shared" si="12"/>
        <v>297.559931506849</v>
      </c>
      <c r="K319" s="12" t="str">
        <f t="shared" si="13"/>
        <v>OTHER</v>
      </c>
      <c r="L319" s="13">
        <f t="shared" si="14"/>
        <v>0.333333333333333</v>
      </c>
      <c r="M319" s="15"/>
      <c r="N319" s="7">
        <f>COUNTIF(F:F,Du_Lieu[[#This Row],[Invoice]])</f>
        <v>1</v>
      </c>
    </row>
    <row r="320" spans="1:14">
      <c r="A320" s="10">
        <v>44492</v>
      </c>
      <c r="B320" s="7" t="s">
        <v>13</v>
      </c>
      <c r="C320" s="7" t="s">
        <v>59</v>
      </c>
      <c r="D320" s="7" t="s">
        <v>740</v>
      </c>
      <c r="E320" s="7" t="s">
        <v>741</v>
      </c>
      <c r="F320" s="7" t="s">
        <v>742</v>
      </c>
      <c r="G320" s="11">
        <v>1</v>
      </c>
      <c r="H320" s="11">
        <v>56865000</v>
      </c>
      <c r="I320" s="11" t="str">
        <f>"Tháng"&amp;" "&amp;MONTH(Du_Lieu[[#This Row],[Date]])</f>
        <v>Tháng 10</v>
      </c>
      <c r="J320" s="12">
        <f t="shared" si="12"/>
        <v>2434.28938356164</v>
      </c>
      <c r="K320" s="12" t="str">
        <f t="shared" si="13"/>
        <v>OTHER</v>
      </c>
      <c r="L320" s="13">
        <f t="shared" si="14"/>
        <v>1</v>
      </c>
      <c r="M320" s="15"/>
      <c r="N320" s="7">
        <f>COUNTIF(F:F,Du_Lieu[[#This Row],[Invoice]])</f>
        <v>1</v>
      </c>
    </row>
    <row r="321" spans="1:14">
      <c r="A321" s="10">
        <v>44492</v>
      </c>
      <c r="B321" s="7" t="s">
        <v>13</v>
      </c>
      <c r="C321" s="7" t="s">
        <v>59</v>
      </c>
      <c r="D321" s="7" t="s">
        <v>743</v>
      </c>
      <c r="E321" s="7" t="s">
        <v>744</v>
      </c>
      <c r="F321" s="7" t="s">
        <v>745</v>
      </c>
      <c r="G321" s="11">
        <v>1</v>
      </c>
      <c r="H321" s="11">
        <v>10832000</v>
      </c>
      <c r="I321" s="11" t="str">
        <f>"Tháng"&amp;" "&amp;MONTH(Du_Lieu[[#This Row],[Date]])</f>
        <v>Tháng 10</v>
      </c>
      <c r="J321" s="12">
        <f t="shared" si="12"/>
        <v>463.698630136986</v>
      </c>
      <c r="K321" s="12" t="str">
        <f t="shared" si="13"/>
        <v>OTHER</v>
      </c>
      <c r="L321" s="13">
        <f t="shared" si="14"/>
        <v>1</v>
      </c>
      <c r="M321" s="15"/>
      <c r="N321" s="7">
        <f>COUNTIF(F:F,Du_Lieu[[#This Row],[Invoice]])</f>
        <v>1</v>
      </c>
    </row>
    <row r="322" spans="1:14">
      <c r="A322" s="10">
        <v>44492</v>
      </c>
      <c r="B322" s="7" t="s">
        <v>13</v>
      </c>
      <c r="C322" s="7" t="s">
        <v>59</v>
      </c>
      <c r="D322" s="7" t="s">
        <v>746</v>
      </c>
      <c r="E322" s="7" t="s">
        <v>747</v>
      </c>
      <c r="F322" s="7" t="s">
        <v>748</v>
      </c>
      <c r="G322" s="11">
        <v>1</v>
      </c>
      <c r="H322" s="11">
        <v>505466000</v>
      </c>
      <c r="I322" s="11" t="str">
        <f>"Tháng"&amp;" "&amp;MONTH(Du_Lieu[[#This Row],[Date]])</f>
        <v>Tháng 10</v>
      </c>
      <c r="J322" s="12">
        <f t="shared" si="12"/>
        <v>21638.0993150685</v>
      </c>
      <c r="K322" s="12" t="str">
        <f t="shared" si="13"/>
        <v>SILVER</v>
      </c>
      <c r="L322" s="13">
        <f t="shared" si="14"/>
        <v>1</v>
      </c>
      <c r="M322" s="15"/>
      <c r="N322" s="7">
        <f>COUNTIF(F:F,Du_Lieu[[#This Row],[Invoice]])</f>
        <v>1</v>
      </c>
    </row>
    <row r="323" spans="1:14">
      <c r="A323" s="10">
        <v>44492</v>
      </c>
      <c r="B323" s="7" t="s">
        <v>44</v>
      </c>
      <c r="C323" s="7" t="s">
        <v>59</v>
      </c>
      <c r="D323" s="7" t="s">
        <v>749</v>
      </c>
      <c r="E323" s="7" t="s">
        <v>750</v>
      </c>
      <c r="F323" s="7" t="s">
        <v>751</v>
      </c>
      <c r="G323" s="11">
        <v>1</v>
      </c>
      <c r="H323" s="11">
        <v>74015000</v>
      </c>
      <c r="I323" s="11" t="str">
        <f>"Tháng"&amp;" "&amp;MONTH(Du_Lieu[[#This Row],[Date]])</f>
        <v>Tháng 10</v>
      </c>
      <c r="J323" s="12">
        <f t="shared" ref="J323:J386" si="15">H323/$M$2</f>
        <v>3168.45034246575</v>
      </c>
      <c r="K323" s="12" t="str">
        <f t="shared" ref="K323:K386" si="16">IF(J323&gt;50000,"PLATINUM",IF(AND(J323&gt;25000,J323&lt;50000),"GOLD",IF(AND(J323&gt;10000,J323&lt;25000),"SILVER",IF(AND(J323&gt;3000,J323&lt;10000),"CLIENTELING OR CT","OTHER"))))</f>
        <v>CLIENTELING OR CT</v>
      </c>
      <c r="L323" s="13">
        <f t="shared" ref="L323:L386" si="17">1/COUNTIF(E:E,E323)</f>
        <v>1</v>
      </c>
      <c r="M323" s="15"/>
      <c r="N323" s="7">
        <f>COUNTIF(F:F,Du_Lieu[[#This Row],[Invoice]])</f>
        <v>1</v>
      </c>
    </row>
    <row r="324" spans="1:14">
      <c r="A324" s="10">
        <v>44492</v>
      </c>
      <c r="B324" s="7" t="s">
        <v>15</v>
      </c>
      <c r="C324" s="7" t="s">
        <v>59</v>
      </c>
      <c r="D324" s="7" t="s">
        <v>712</v>
      </c>
      <c r="E324" s="7" t="s">
        <v>752</v>
      </c>
      <c r="F324" s="7" t="s">
        <v>753</v>
      </c>
      <c r="G324" s="11">
        <v>1</v>
      </c>
      <c r="H324" s="11">
        <v>6951000</v>
      </c>
      <c r="I324" s="11" t="str">
        <f>"Tháng"&amp;" "&amp;MONTH(Du_Lieu[[#This Row],[Date]])</f>
        <v>Tháng 10</v>
      </c>
      <c r="J324" s="12">
        <f t="shared" si="15"/>
        <v>297.559931506849</v>
      </c>
      <c r="K324" s="12" t="str">
        <f t="shared" si="16"/>
        <v>OTHER</v>
      </c>
      <c r="L324" s="13">
        <f t="shared" si="17"/>
        <v>1</v>
      </c>
      <c r="M324" s="15"/>
      <c r="N324" s="7">
        <f>COUNTIF(F:F,Du_Lieu[[#This Row],[Invoice]])</f>
        <v>1</v>
      </c>
    </row>
    <row r="325" spans="1:14">
      <c r="A325" s="10">
        <v>44493</v>
      </c>
      <c r="B325" s="7" t="s">
        <v>44</v>
      </c>
      <c r="C325" s="7" t="s">
        <v>59</v>
      </c>
      <c r="D325" s="7" t="s">
        <v>403</v>
      </c>
      <c r="E325" s="7" t="s">
        <v>754</v>
      </c>
      <c r="F325" s="7" t="s">
        <v>755</v>
      </c>
      <c r="G325" s="11">
        <v>1</v>
      </c>
      <c r="H325" s="11">
        <v>26176000</v>
      </c>
      <c r="I325" s="11" t="str">
        <f>"Tháng"&amp;" "&amp;MONTH(Du_Lieu[[#This Row],[Date]])</f>
        <v>Tháng 10</v>
      </c>
      <c r="J325" s="12">
        <f t="shared" si="15"/>
        <v>1120.54794520548</v>
      </c>
      <c r="K325" s="12" t="str">
        <f t="shared" si="16"/>
        <v>OTHER</v>
      </c>
      <c r="L325" s="13">
        <f t="shared" si="17"/>
        <v>1</v>
      </c>
      <c r="M325" s="15"/>
      <c r="N325" s="7">
        <f>COUNTIF(F:F,Du_Lieu[[#This Row],[Invoice]])</f>
        <v>1</v>
      </c>
    </row>
    <row r="326" spans="1:14">
      <c r="A326" s="10">
        <v>44493</v>
      </c>
      <c r="B326" s="7" t="s">
        <v>44</v>
      </c>
      <c r="C326" s="7" t="s">
        <v>59</v>
      </c>
      <c r="D326" s="7" t="s">
        <v>756</v>
      </c>
      <c r="E326" s="7" t="s">
        <v>757</v>
      </c>
      <c r="F326" s="7" t="s">
        <v>758</v>
      </c>
      <c r="G326" s="11">
        <v>1</v>
      </c>
      <c r="H326" s="11">
        <v>15435000</v>
      </c>
      <c r="I326" s="11" t="str">
        <f>"Tháng"&amp;" "&amp;MONTH(Du_Lieu[[#This Row],[Date]])</f>
        <v>Tháng 10</v>
      </c>
      <c r="J326" s="12">
        <f t="shared" si="15"/>
        <v>660.744863013699</v>
      </c>
      <c r="K326" s="12" t="str">
        <f t="shared" si="16"/>
        <v>OTHER</v>
      </c>
      <c r="L326" s="13">
        <f t="shared" si="17"/>
        <v>1</v>
      </c>
      <c r="M326" s="15"/>
      <c r="N326" s="7">
        <f>COUNTIF(F:F,Du_Lieu[[#This Row],[Invoice]])</f>
        <v>1</v>
      </c>
    </row>
    <row r="327" spans="1:14">
      <c r="A327" s="10">
        <v>44494</v>
      </c>
      <c r="B327" s="7" t="s">
        <v>13</v>
      </c>
      <c r="C327" s="7" t="s">
        <v>59</v>
      </c>
      <c r="D327" s="7" t="s">
        <v>759</v>
      </c>
      <c r="E327" s="7" t="s">
        <v>760</v>
      </c>
      <c r="F327" s="7" t="s">
        <v>761</v>
      </c>
      <c r="G327" s="11">
        <v>1</v>
      </c>
      <c r="H327" s="11">
        <v>178719000</v>
      </c>
      <c r="I327" s="11" t="str">
        <f>"Tháng"&amp;" "&amp;MONTH(Du_Lieu[[#This Row],[Date]])</f>
        <v>Tháng 10</v>
      </c>
      <c r="J327" s="12">
        <f t="shared" si="15"/>
        <v>7650.64212328767</v>
      </c>
      <c r="K327" s="12" t="str">
        <f t="shared" si="16"/>
        <v>CLIENTELING OR CT</v>
      </c>
      <c r="L327" s="13">
        <f t="shared" si="17"/>
        <v>1</v>
      </c>
      <c r="M327" s="15"/>
      <c r="N327" s="7">
        <f>COUNTIF(F:F,Du_Lieu[[#This Row],[Invoice]])</f>
        <v>1</v>
      </c>
    </row>
    <row r="328" spans="1:14">
      <c r="A328" s="10">
        <v>44494</v>
      </c>
      <c r="B328" s="7" t="s">
        <v>13</v>
      </c>
      <c r="C328" s="7" t="s">
        <v>59</v>
      </c>
      <c r="D328" s="7" t="s">
        <v>762</v>
      </c>
      <c r="E328" s="7" t="s">
        <v>763</v>
      </c>
      <c r="F328" s="7" t="s">
        <v>764</v>
      </c>
      <c r="G328" s="11">
        <v>1</v>
      </c>
      <c r="H328" s="11">
        <v>171498000</v>
      </c>
      <c r="I328" s="11" t="str">
        <f>"Tháng"&amp;" "&amp;MONTH(Du_Lieu[[#This Row],[Date]])</f>
        <v>Tháng 10</v>
      </c>
      <c r="J328" s="12">
        <f t="shared" si="15"/>
        <v>7341.52397260274</v>
      </c>
      <c r="K328" s="12" t="str">
        <f t="shared" si="16"/>
        <v>CLIENTELING OR CT</v>
      </c>
      <c r="L328" s="13">
        <f t="shared" si="17"/>
        <v>0.5</v>
      </c>
      <c r="M328" s="15"/>
      <c r="N328" s="7">
        <f>COUNTIF(F:F,Du_Lieu[[#This Row],[Invoice]])</f>
        <v>2</v>
      </c>
    </row>
    <row r="329" spans="1:14">
      <c r="A329" s="10">
        <v>44494</v>
      </c>
      <c r="B329" s="7" t="s">
        <v>13</v>
      </c>
      <c r="C329" s="7" t="s">
        <v>59</v>
      </c>
      <c r="D329" s="7" t="s">
        <v>765</v>
      </c>
      <c r="E329" s="7" t="s">
        <v>763</v>
      </c>
      <c r="F329" s="7" t="s">
        <v>764</v>
      </c>
      <c r="G329" s="11">
        <v>1</v>
      </c>
      <c r="H329" s="11">
        <v>106509000</v>
      </c>
      <c r="I329" s="11" t="str">
        <f>"Tháng"&amp;" "&amp;MONTH(Du_Lieu[[#This Row],[Date]])</f>
        <v>Tháng 10</v>
      </c>
      <c r="J329" s="12">
        <f t="shared" si="15"/>
        <v>4559.46061643836</v>
      </c>
      <c r="K329" s="12" t="str">
        <f t="shared" si="16"/>
        <v>CLIENTELING OR CT</v>
      </c>
      <c r="L329" s="13">
        <f t="shared" si="17"/>
        <v>0.5</v>
      </c>
      <c r="M329" s="15"/>
      <c r="N329" s="7">
        <f>COUNTIF(F:F,Du_Lieu[[#This Row],[Invoice]])</f>
        <v>2</v>
      </c>
    </row>
    <row r="330" spans="1:14">
      <c r="A330" s="10">
        <v>44495</v>
      </c>
      <c r="B330" s="7" t="s">
        <v>44</v>
      </c>
      <c r="C330" s="7" t="s">
        <v>59</v>
      </c>
      <c r="D330" s="7" t="s">
        <v>743</v>
      </c>
      <c r="E330" s="7" t="s">
        <v>766</v>
      </c>
      <c r="F330" s="7" t="s">
        <v>767</v>
      </c>
      <c r="G330" s="11">
        <v>1</v>
      </c>
      <c r="H330" s="11">
        <v>10832000</v>
      </c>
      <c r="I330" s="11" t="str">
        <f>"Tháng"&amp;" "&amp;MONTH(Du_Lieu[[#This Row],[Date]])</f>
        <v>Tháng 10</v>
      </c>
      <c r="J330" s="12">
        <f t="shared" si="15"/>
        <v>463.698630136986</v>
      </c>
      <c r="K330" s="12" t="str">
        <f t="shared" si="16"/>
        <v>OTHER</v>
      </c>
      <c r="L330" s="13">
        <f t="shared" si="17"/>
        <v>1</v>
      </c>
      <c r="M330" s="15"/>
      <c r="N330" s="7">
        <f>COUNTIF(F:F,Du_Lieu[[#This Row],[Invoice]])</f>
        <v>1</v>
      </c>
    </row>
    <row r="331" spans="1:14">
      <c r="A331" s="10">
        <v>44495</v>
      </c>
      <c r="B331" s="7" t="s">
        <v>44</v>
      </c>
      <c r="C331" s="7" t="s">
        <v>59</v>
      </c>
      <c r="D331" s="7" t="s">
        <v>66</v>
      </c>
      <c r="E331" s="7" t="s">
        <v>768</v>
      </c>
      <c r="F331" s="7" t="s">
        <v>769</v>
      </c>
      <c r="G331" s="11">
        <v>1</v>
      </c>
      <c r="H331" s="11">
        <v>6951000</v>
      </c>
      <c r="I331" s="11" t="str">
        <f>"Tháng"&amp;" "&amp;MONTH(Du_Lieu[[#This Row],[Date]])</f>
        <v>Tháng 10</v>
      </c>
      <c r="J331" s="12">
        <f t="shared" si="15"/>
        <v>297.559931506849</v>
      </c>
      <c r="K331" s="12" t="str">
        <f t="shared" si="16"/>
        <v>OTHER</v>
      </c>
      <c r="L331" s="13">
        <f t="shared" si="17"/>
        <v>1</v>
      </c>
      <c r="M331" s="15"/>
      <c r="N331" s="7">
        <f>COUNTIF(F:F,Du_Lieu[[#This Row],[Invoice]])</f>
        <v>1</v>
      </c>
    </row>
    <row r="332" spans="1:14">
      <c r="A332" s="10">
        <v>44496</v>
      </c>
      <c r="B332" s="7" t="s">
        <v>13</v>
      </c>
      <c r="C332" s="7" t="s">
        <v>59</v>
      </c>
      <c r="D332" s="7" t="s">
        <v>770</v>
      </c>
      <c r="E332" s="7" t="s">
        <v>771</v>
      </c>
      <c r="F332" s="7" t="s">
        <v>772</v>
      </c>
      <c r="G332" s="11">
        <v>1</v>
      </c>
      <c r="H332" s="11">
        <v>50547000</v>
      </c>
      <c r="I332" s="11" t="str">
        <f>"Tháng"&amp;" "&amp;MONTH(Du_Lieu[[#This Row],[Date]])</f>
        <v>Tháng 10</v>
      </c>
      <c r="J332" s="12">
        <f t="shared" si="15"/>
        <v>2163.82705479452</v>
      </c>
      <c r="K332" s="12" t="str">
        <f t="shared" si="16"/>
        <v>OTHER</v>
      </c>
      <c r="L332" s="13">
        <f t="shared" si="17"/>
        <v>1</v>
      </c>
      <c r="M332" s="15"/>
      <c r="N332" s="7">
        <f>COUNTIF(F:F,Du_Lieu[[#This Row],[Invoice]])</f>
        <v>1</v>
      </c>
    </row>
    <row r="333" spans="1:14">
      <c r="A333" s="10">
        <v>44497</v>
      </c>
      <c r="B333" s="7" t="s">
        <v>44</v>
      </c>
      <c r="C333" s="7" t="s">
        <v>59</v>
      </c>
      <c r="D333" s="7" t="s">
        <v>773</v>
      </c>
      <c r="E333" s="7" t="s">
        <v>774</v>
      </c>
      <c r="F333" s="7" t="s">
        <v>775</v>
      </c>
      <c r="G333" s="11">
        <v>1</v>
      </c>
      <c r="H333" s="11">
        <v>14262000</v>
      </c>
      <c r="I333" s="11" t="str">
        <f>"Tháng"&amp;" "&amp;MONTH(Du_Lieu[[#This Row],[Date]])</f>
        <v>Tháng 10</v>
      </c>
      <c r="J333" s="12">
        <f t="shared" si="15"/>
        <v>610.530821917808</v>
      </c>
      <c r="K333" s="12" t="str">
        <f t="shared" si="16"/>
        <v>OTHER</v>
      </c>
      <c r="L333" s="13">
        <f t="shared" si="17"/>
        <v>1</v>
      </c>
      <c r="M333" s="15"/>
      <c r="N333" s="7">
        <f>COUNTIF(F:F,Du_Lieu[[#This Row],[Invoice]])</f>
        <v>1</v>
      </c>
    </row>
    <row r="334" spans="1:14">
      <c r="A334" s="10">
        <v>44497</v>
      </c>
      <c r="B334" s="7" t="s">
        <v>44</v>
      </c>
      <c r="C334" s="7" t="s">
        <v>59</v>
      </c>
      <c r="D334" s="7" t="s">
        <v>662</v>
      </c>
      <c r="E334" s="7" t="s">
        <v>776</v>
      </c>
      <c r="F334" s="7" t="s">
        <v>777</v>
      </c>
      <c r="G334" s="11">
        <v>1</v>
      </c>
      <c r="H334" s="11">
        <v>7763000</v>
      </c>
      <c r="I334" s="11" t="str">
        <f>"Tháng"&amp;" "&amp;MONTH(Du_Lieu[[#This Row],[Date]])</f>
        <v>Tháng 10</v>
      </c>
      <c r="J334" s="12">
        <f t="shared" si="15"/>
        <v>332.320205479452</v>
      </c>
      <c r="K334" s="12" t="str">
        <f t="shared" si="16"/>
        <v>OTHER</v>
      </c>
      <c r="L334" s="13">
        <f t="shared" si="17"/>
        <v>0.5</v>
      </c>
      <c r="M334" s="15"/>
      <c r="N334" s="7">
        <f>COUNTIF(F:F,Du_Lieu[[#This Row],[Invoice]])</f>
        <v>1</v>
      </c>
    </row>
    <row r="335" spans="1:14">
      <c r="A335" s="10">
        <v>44497</v>
      </c>
      <c r="B335" s="7" t="s">
        <v>13</v>
      </c>
      <c r="C335" s="7" t="s">
        <v>59</v>
      </c>
      <c r="D335" s="7" t="s">
        <v>778</v>
      </c>
      <c r="E335" s="7" t="s">
        <v>779</v>
      </c>
      <c r="F335" s="7" t="s">
        <v>780</v>
      </c>
      <c r="G335" s="11">
        <v>1</v>
      </c>
      <c r="H335" s="11">
        <v>384515000</v>
      </c>
      <c r="I335" s="11" t="str">
        <f>"Tháng"&amp;" "&amp;MONTH(Du_Lieu[[#This Row],[Date]])</f>
        <v>Tháng 10</v>
      </c>
      <c r="J335" s="12">
        <f t="shared" si="15"/>
        <v>16460.4023972603</v>
      </c>
      <c r="K335" s="12" t="str">
        <f t="shared" si="16"/>
        <v>SILVER</v>
      </c>
      <c r="L335" s="13">
        <f t="shared" si="17"/>
        <v>1</v>
      </c>
      <c r="M335" s="15"/>
      <c r="N335" s="7">
        <f>COUNTIF(F:F,Du_Lieu[[#This Row],[Invoice]])</f>
        <v>1</v>
      </c>
    </row>
    <row r="336" spans="1:14">
      <c r="A336" s="10">
        <v>44497</v>
      </c>
      <c r="B336" s="7" t="s">
        <v>44</v>
      </c>
      <c r="C336" s="7" t="s">
        <v>59</v>
      </c>
      <c r="D336" s="7" t="s">
        <v>738</v>
      </c>
      <c r="E336" s="7" t="s">
        <v>776</v>
      </c>
      <c r="F336" s="7" t="s">
        <v>781</v>
      </c>
      <c r="G336" s="11">
        <v>1</v>
      </c>
      <c r="H336" s="11">
        <v>6951000</v>
      </c>
      <c r="I336" s="11" t="str">
        <f>"Tháng"&amp;" "&amp;MONTH(Du_Lieu[[#This Row],[Date]])</f>
        <v>Tháng 10</v>
      </c>
      <c r="J336" s="12">
        <f t="shared" si="15"/>
        <v>297.559931506849</v>
      </c>
      <c r="K336" s="12" t="str">
        <f t="shared" si="16"/>
        <v>OTHER</v>
      </c>
      <c r="L336" s="13">
        <f t="shared" si="17"/>
        <v>0.5</v>
      </c>
      <c r="M336" s="15"/>
      <c r="N336" s="7">
        <f>COUNTIF(F:F,Du_Lieu[[#This Row],[Invoice]])</f>
        <v>1</v>
      </c>
    </row>
    <row r="337" spans="1:14">
      <c r="A337" s="10">
        <v>44497</v>
      </c>
      <c r="B337" s="7" t="s">
        <v>44</v>
      </c>
      <c r="C337" s="7" t="s">
        <v>59</v>
      </c>
      <c r="D337" s="7" t="s">
        <v>738</v>
      </c>
      <c r="E337" s="7" t="s">
        <v>782</v>
      </c>
      <c r="F337" s="7" t="s">
        <v>783</v>
      </c>
      <c r="G337" s="11">
        <v>1</v>
      </c>
      <c r="H337" s="11">
        <v>6951000</v>
      </c>
      <c r="I337" s="11" t="str">
        <f>"Tháng"&amp;" "&amp;MONTH(Du_Lieu[[#This Row],[Date]])</f>
        <v>Tháng 10</v>
      </c>
      <c r="J337" s="12">
        <f t="shared" si="15"/>
        <v>297.559931506849</v>
      </c>
      <c r="K337" s="12" t="str">
        <f t="shared" si="16"/>
        <v>OTHER</v>
      </c>
      <c r="L337" s="13">
        <f t="shared" si="17"/>
        <v>1</v>
      </c>
      <c r="M337" s="15"/>
      <c r="N337" s="7">
        <f>COUNTIF(F:F,Du_Lieu[[#This Row],[Invoice]])</f>
        <v>1</v>
      </c>
    </row>
    <row r="338" spans="1:14">
      <c r="A338" s="10">
        <v>44497</v>
      </c>
      <c r="B338" s="7" t="s">
        <v>44</v>
      </c>
      <c r="C338" s="7" t="s">
        <v>59</v>
      </c>
      <c r="D338" s="7" t="s">
        <v>784</v>
      </c>
      <c r="E338" s="7" t="s">
        <v>785</v>
      </c>
      <c r="F338" s="7" t="s">
        <v>786</v>
      </c>
      <c r="G338" s="11">
        <v>1</v>
      </c>
      <c r="H338" s="11">
        <v>55060000</v>
      </c>
      <c r="I338" s="11" t="str">
        <f>"Tháng"&amp;" "&amp;MONTH(Du_Lieu[[#This Row],[Date]])</f>
        <v>Tháng 10</v>
      </c>
      <c r="J338" s="12">
        <f t="shared" si="15"/>
        <v>2357.02054794521</v>
      </c>
      <c r="K338" s="12" t="str">
        <f t="shared" si="16"/>
        <v>OTHER</v>
      </c>
      <c r="L338" s="13">
        <f t="shared" si="17"/>
        <v>1</v>
      </c>
      <c r="M338" s="15"/>
      <c r="N338" s="7">
        <f>COUNTIF(F:F,Du_Lieu[[#This Row],[Invoice]])</f>
        <v>1</v>
      </c>
    </row>
    <row r="339" spans="1:14">
      <c r="A339" s="10">
        <v>44497</v>
      </c>
      <c r="B339" s="7" t="s">
        <v>13</v>
      </c>
      <c r="C339" s="7" t="s">
        <v>59</v>
      </c>
      <c r="D339" s="7" t="s">
        <v>787</v>
      </c>
      <c r="E339" s="7" t="s">
        <v>788</v>
      </c>
      <c r="F339" s="7" t="s">
        <v>789</v>
      </c>
      <c r="G339" s="11">
        <v>1</v>
      </c>
      <c r="H339" s="11">
        <v>265370000</v>
      </c>
      <c r="I339" s="11" t="str">
        <f>"Tháng"&amp;" "&amp;MONTH(Du_Lieu[[#This Row],[Date]])</f>
        <v>Tháng 10</v>
      </c>
      <c r="J339" s="12">
        <f t="shared" si="15"/>
        <v>11360.0171232877</v>
      </c>
      <c r="K339" s="12" t="str">
        <f t="shared" si="16"/>
        <v>SILVER</v>
      </c>
      <c r="L339" s="13">
        <f t="shared" si="17"/>
        <v>1</v>
      </c>
      <c r="M339" s="15"/>
      <c r="N339" s="7">
        <f>COUNTIF(F:F,Du_Lieu[[#This Row],[Invoice]])</f>
        <v>1</v>
      </c>
    </row>
    <row r="340" spans="1:14">
      <c r="A340" s="10">
        <v>44498</v>
      </c>
      <c r="B340" s="7" t="s">
        <v>13</v>
      </c>
      <c r="C340" s="7" t="s">
        <v>59</v>
      </c>
      <c r="D340" s="7" t="s">
        <v>790</v>
      </c>
      <c r="E340" s="7" t="s">
        <v>791</v>
      </c>
      <c r="F340" s="7" t="s">
        <v>792</v>
      </c>
      <c r="G340" s="11">
        <v>1</v>
      </c>
      <c r="H340" s="11">
        <v>63184000</v>
      </c>
      <c r="I340" s="11" t="str">
        <f>"Tháng"&amp;" "&amp;MONTH(Du_Lieu[[#This Row],[Date]])</f>
        <v>Tháng 10</v>
      </c>
      <c r="J340" s="12">
        <f t="shared" si="15"/>
        <v>2704.79452054795</v>
      </c>
      <c r="K340" s="12" t="str">
        <f t="shared" si="16"/>
        <v>OTHER</v>
      </c>
      <c r="L340" s="13">
        <f t="shared" si="17"/>
        <v>0.333333333333333</v>
      </c>
      <c r="M340" s="15"/>
      <c r="N340" s="7">
        <f>COUNTIF(F:F,Du_Lieu[[#This Row],[Invoice]])</f>
        <v>1</v>
      </c>
    </row>
    <row r="341" spans="1:14">
      <c r="A341" s="10">
        <v>44498</v>
      </c>
      <c r="B341" s="7" t="s">
        <v>15</v>
      </c>
      <c r="C341" s="7" t="s">
        <v>59</v>
      </c>
      <c r="D341" s="7" t="s">
        <v>793</v>
      </c>
      <c r="E341" s="7" t="s">
        <v>794</v>
      </c>
      <c r="F341" s="7" t="s">
        <v>795</v>
      </c>
      <c r="G341" s="11">
        <v>1</v>
      </c>
      <c r="H341" s="11">
        <v>46937000</v>
      </c>
      <c r="I341" s="11" t="str">
        <f>"Tháng"&amp;" "&amp;MONTH(Du_Lieu[[#This Row],[Date]])</f>
        <v>Tháng 10</v>
      </c>
      <c r="J341" s="12">
        <f t="shared" si="15"/>
        <v>2009.28938356164</v>
      </c>
      <c r="K341" s="12" t="str">
        <f t="shared" si="16"/>
        <v>OTHER</v>
      </c>
      <c r="L341" s="13">
        <f t="shared" si="17"/>
        <v>0.5</v>
      </c>
      <c r="M341" s="15"/>
      <c r="N341" s="7">
        <f>COUNTIF(F:F,Du_Lieu[[#This Row],[Invoice]])</f>
        <v>2</v>
      </c>
    </row>
    <row r="342" spans="1:14">
      <c r="A342" s="10">
        <v>44498</v>
      </c>
      <c r="B342" s="7" t="s">
        <v>15</v>
      </c>
      <c r="C342" s="7" t="s">
        <v>59</v>
      </c>
      <c r="D342" s="7" t="s">
        <v>796</v>
      </c>
      <c r="E342" s="7" t="s">
        <v>794</v>
      </c>
      <c r="F342" s="7" t="s">
        <v>795</v>
      </c>
      <c r="G342" s="11">
        <v>1</v>
      </c>
      <c r="H342" s="11">
        <v>46937000</v>
      </c>
      <c r="I342" s="11" t="str">
        <f>"Tháng"&amp;" "&amp;MONTH(Du_Lieu[[#This Row],[Date]])</f>
        <v>Tháng 10</v>
      </c>
      <c r="J342" s="12">
        <f t="shared" si="15"/>
        <v>2009.28938356164</v>
      </c>
      <c r="K342" s="12" t="str">
        <f t="shared" si="16"/>
        <v>OTHER</v>
      </c>
      <c r="L342" s="13">
        <f t="shared" si="17"/>
        <v>0.5</v>
      </c>
      <c r="M342" s="15"/>
      <c r="N342" s="7">
        <f>COUNTIF(F:F,Du_Lieu[[#This Row],[Invoice]])</f>
        <v>2</v>
      </c>
    </row>
    <row r="343" spans="1:14">
      <c r="A343" s="10">
        <v>44498</v>
      </c>
      <c r="B343" s="7" t="s">
        <v>13</v>
      </c>
      <c r="C343" s="7" t="s">
        <v>59</v>
      </c>
      <c r="D343" s="7" t="s">
        <v>797</v>
      </c>
      <c r="E343" s="7" t="s">
        <v>791</v>
      </c>
      <c r="F343" s="7" t="s">
        <v>798</v>
      </c>
      <c r="G343" s="11">
        <v>1</v>
      </c>
      <c r="H343" s="11">
        <v>56865000</v>
      </c>
      <c r="I343" s="11" t="str">
        <f>"Tháng"&amp;" "&amp;MONTH(Du_Lieu[[#This Row],[Date]])</f>
        <v>Tháng 10</v>
      </c>
      <c r="J343" s="12">
        <f t="shared" si="15"/>
        <v>2434.28938356164</v>
      </c>
      <c r="K343" s="12" t="str">
        <f t="shared" si="16"/>
        <v>OTHER</v>
      </c>
      <c r="L343" s="13">
        <f t="shared" si="17"/>
        <v>0.333333333333333</v>
      </c>
      <c r="M343" s="15"/>
      <c r="N343" s="7">
        <f>COUNTIF(F:F,Du_Lieu[[#This Row],[Invoice]])</f>
        <v>1</v>
      </c>
    </row>
    <row r="344" spans="1:14">
      <c r="A344" s="10">
        <v>44498</v>
      </c>
      <c r="B344" s="7" t="s">
        <v>13</v>
      </c>
      <c r="C344" s="7" t="s">
        <v>59</v>
      </c>
      <c r="D344" s="7" t="s">
        <v>790</v>
      </c>
      <c r="E344" s="7" t="s">
        <v>791</v>
      </c>
      <c r="F344" s="7" t="s">
        <v>799</v>
      </c>
      <c r="G344" s="11">
        <v>-1</v>
      </c>
      <c r="H344" s="11">
        <v>-63184000</v>
      </c>
      <c r="I344" s="11" t="str">
        <f>"Tháng"&amp;" "&amp;MONTH(Du_Lieu[[#This Row],[Date]])</f>
        <v>Tháng 10</v>
      </c>
      <c r="J344" s="12">
        <f t="shared" si="15"/>
        <v>-2704.79452054795</v>
      </c>
      <c r="K344" s="12" t="str">
        <f t="shared" si="16"/>
        <v>OTHER</v>
      </c>
      <c r="L344" s="13">
        <f t="shared" si="17"/>
        <v>0.333333333333333</v>
      </c>
      <c r="M344" s="15"/>
      <c r="N344" s="7">
        <f>COUNTIF(F:F,Du_Lieu[[#This Row],[Invoice]])</f>
        <v>1</v>
      </c>
    </row>
    <row r="345" spans="1:14">
      <c r="A345" s="10">
        <v>44499</v>
      </c>
      <c r="B345" s="7" t="s">
        <v>13</v>
      </c>
      <c r="C345" s="7" t="s">
        <v>59</v>
      </c>
      <c r="D345" s="7" t="s">
        <v>318</v>
      </c>
      <c r="E345" s="7" t="s">
        <v>800</v>
      </c>
      <c r="F345" s="7" t="s">
        <v>801</v>
      </c>
      <c r="G345" s="11">
        <v>1</v>
      </c>
      <c r="H345" s="11">
        <v>68599000</v>
      </c>
      <c r="I345" s="11" t="str">
        <f>"Tháng"&amp;" "&amp;MONTH(Du_Lieu[[#This Row],[Date]])</f>
        <v>Tháng 10</v>
      </c>
      <c r="J345" s="12">
        <f t="shared" si="15"/>
        <v>2936.60102739726</v>
      </c>
      <c r="K345" s="12" t="str">
        <f t="shared" si="16"/>
        <v>OTHER</v>
      </c>
      <c r="L345" s="13">
        <f t="shared" si="17"/>
        <v>0.5</v>
      </c>
      <c r="M345" s="15"/>
      <c r="N345" s="7">
        <f>COUNTIF(F:F,Du_Lieu[[#This Row],[Invoice]])</f>
        <v>2</v>
      </c>
    </row>
    <row r="346" spans="1:14">
      <c r="A346" s="10">
        <v>44499</v>
      </c>
      <c r="B346" s="7" t="s">
        <v>13</v>
      </c>
      <c r="C346" s="7" t="s">
        <v>59</v>
      </c>
      <c r="D346" s="7" t="s">
        <v>165</v>
      </c>
      <c r="E346" s="7" t="s">
        <v>800</v>
      </c>
      <c r="F346" s="7" t="s">
        <v>801</v>
      </c>
      <c r="G346" s="11">
        <v>1</v>
      </c>
      <c r="H346" s="11">
        <v>9388000</v>
      </c>
      <c r="I346" s="11" t="str">
        <f>"Tháng"&amp;" "&amp;MONTH(Du_Lieu[[#This Row],[Date]])</f>
        <v>Tháng 10</v>
      </c>
      <c r="J346" s="12">
        <f t="shared" si="15"/>
        <v>401.883561643836</v>
      </c>
      <c r="K346" s="12" t="str">
        <f t="shared" si="16"/>
        <v>OTHER</v>
      </c>
      <c r="L346" s="13">
        <f t="shared" si="17"/>
        <v>0.5</v>
      </c>
      <c r="M346" s="15"/>
      <c r="N346" s="7">
        <f>COUNTIF(F:F,Du_Lieu[[#This Row],[Invoice]])</f>
        <v>2</v>
      </c>
    </row>
    <row r="347" spans="1:14">
      <c r="A347" s="10">
        <v>44499</v>
      </c>
      <c r="B347" s="7" t="s">
        <v>15</v>
      </c>
      <c r="C347" s="7" t="s">
        <v>59</v>
      </c>
      <c r="D347" s="7" t="s">
        <v>802</v>
      </c>
      <c r="E347" s="7" t="s">
        <v>803</v>
      </c>
      <c r="F347" s="7" t="s">
        <v>804</v>
      </c>
      <c r="G347" s="11">
        <v>1</v>
      </c>
      <c r="H347" s="11">
        <v>97483000</v>
      </c>
      <c r="I347" s="11" t="str">
        <f>"Tháng"&amp;" "&amp;MONTH(Du_Lieu[[#This Row],[Date]])</f>
        <v>Tháng 10</v>
      </c>
      <c r="J347" s="12">
        <f t="shared" si="15"/>
        <v>4173.07363013699</v>
      </c>
      <c r="K347" s="12" t="str">
        <f t="shared" si="16"/>
        <v>CLIENTELING OR CT</v>
      </c>
      <c r="L347" s="13">
        <f t="shared" si="17"/>
        <v>1</v>
      </c>
      <c r="M347" s="15"/>
      <c r="N347" s="7">
        <f>COUNTIF(F:F,Du_Lieu[[#This Row],[Invoice]])</f>
        <v>1</v>
      </c>
    </row>
    <row r="348" spans="1:14">
      <c r="A348" s="10">
        <v>44499</v>
      </c>
      <c r="B348" s="7" t="s">
        <v>15</v>
      </c>
      <c r="C348" s="7" t="s">
        <v>59</v>
      </c>
      <c r="D348" s="7" t="s">
        <v>805</v>
      </c>
      <c r="E348" s="7" t="s">
        <v>806</v>
      </c>
      <c r="F348" s="7" t="s">
        <v>807</v>
      </c>
      <c r="G348" s="11">
        <v>1</v>
      </c>
      <c r="H348" s="11">
        <v>55060000</v>
      </c>
      <c r="I348" s="11" t="str">
        <f>"Tháng"&amp;" "&amp;MONTH(Du_Lieu[[#This Row],[Date]])</f>
        <v>Tháng 10</v>
      </c>
      <c r="J348" s="12">
        <f t="shared" si="15"/>
        <v>2357.02054794521</v>
      </c>
      <c r="K348" s="12" t="str">
        <f t="shared" si="16"/>
        <v>OTHER</v>
      </c>
      <c r="L348" s="13">
        <f t="shared" si="17"/>
        <v>0.5</v>
      </c>
      <c r="M348" s="15"/>
      <c r="N348" s="7">
        <f>COUNTIF(F:F,Du_Lieu[[#This Row],[Invoice]])</f>
        <v>2</v>
      </c>
    </row>
    <row r="349" spans="1:14">
      <c r="A349" s="10">
        <v>44499</v>
      </c>
      <c r="B349" s="7" t="s">
        <v>15</v>
      </c>
      <c r="C349" s="7" t="s">
        <v>59</v>
      </c>
      <c r="D349" s="7" t="s">
        <v>808</v>
      </c>
      <c r="E349" s="7" t="s">
        <v>806</v>
      </c>
      <c r="F349" s="7" t="s">
        <v>807</v>
      </c>
      <c r="G349" s="11">
        <v>1</v>
      </c>
      <c r="H349" s="11">
        <v>43326000</v>
      </c>
      <c r="I349" s="11" t="str">
        <f>"Tháng"&amp;" "&amp;MONTH(Du_Lieu[[#This Row],[Date]])</f>
        <v>Tháng 10</v>
      </c>
      <c r="J349" s="12">
        <f t="shared" si="15"/>
        <v>1854.70890410959</v>
      </c>
      <c r="K349" s="12" t="str">
        <f t="shared" si="16"/>
        <v>OTHER</v>
      </c>
      <c r="L349" s="13">
        <f t="shared" si="17"/>
        <v>0.5</v>
      </c>
      <c r="M349" s="15"/>
      <c r="N349" s="7">
        <f>COUNTIF(F:F,Du_Lieu[[#This Row],[Invoice]])</f>
        <v>2</v>
      </c>
    </row>
    <row r="350" spans="1:14">
      <c r="A350" s="10">
        <v>44500</v>
      </c>
      <c r="B350" s="7" t="s">
        <v>44</v>
      </c>
      <c r="C350" s="7" t="s">
        <v>59</v>
      </c>
      <c r="D350" s="7" t="s">
        <v>809</v>
      </c>
      <c r="E350" s="7" t="s">
        <v>810</v>
      </c>
      <c r="F350" s="7" t="s">
        <v>811</v>
      </c>
      <c r="G350" s="11">
        <v>1</v>
      </c>
      <c r="H350" s="11">
        <v>12096000</v>
      </c>
      <c r="I350" s="11" t="str">
        <f>"Tháng"&amp;" "&amp;MONTH(Du_Lieu[[#This Row],[Date]])</f>
        <v>Tháng 10</v>
      </c>
      <c r="J350" s="12">
        <f t="shared" si="15"/>
        <v>517.808219178082</v>
      </c>
      <c r="K350" s="12" t="str">
        <f t="shared" si="16"/>
        <v>OTHER</v>
      </c>
      <c r="L350" s="13">
        <f t="shared" si="17"/>
        <v>1</v>
      </c>
      <c r="M350" s="15"/>
      <c r="N350" s="7">
        <f>COUNTIF(F:F,Du_Lieu[[#This Row],[Invoice]])</f>
        <v>1</v>
      </c>
    </row>
    <row r="351" spans="1:14">
      <c r="A351" s="10">
        <v>44500</v>
      </c>
      <c r="B351" s="7" t="s">
        <v>44</v>
      </c>
      <c r="C351" s="7" t="s">
        <v>59</v>
      </c>
      <c r="D351" s="7" t="s">
        <v>812</v>
      </c>
      <c r="E351" s="7" t="s">
        <v>813</v>
      </c>
      <c r="F351" s="7" t="s">
        <v>814</v>
      </c>
      <c r="G351" s="11">
        <v>1</v>
      </c>
      <c r="H351" s="11">
        <v>24371000</v>
      </c>
      <c r="I351" s="11" t="str">
        <f>"Tháng"&amp;" "&amp;MONTH(Du_Lieu[[#This Row],[Date]])</f>
        <v>Tháng 10</v>
      </c>
      <c r="J351" s="12">
        <f t="shared" si="15"/>
        <v>1043.27910958904</v>
      </c>
      <c r="K351" s="12" t="str">
        <f t="shared" si="16"/>
        <v>OTHER</v>
      </c>
      <c r="L351" s="13">
        <f t="shared" si="17"/>
        <v>1</v>
      </c>
      <c r="M351" s="15"/>
      <c r="N351" s="7">
        <f>COUNTIF(F:F,Du_Lieu[[#This Row],[Invoice]])</f>
        <v>1</v>
      </c>
    </row>
    <row r="352" spans="1:14">
      <c r="A352" s="10">
        <v>44500</v>
      </c>
      <c r="B352" s="7" t="s">
        <v>13</v>
      </c>
      <c r="C352" s="7" t="s">
        <v>59</v>
      </c>
      <c r="D352" s="7" t="s">
        <v>815</v>
      </c>
      <c r="E352" s="7" t="s">
        <v>816</v>
      </c>
      <c r="F352" s="7" t="s">
        <v>817</v>
      </c>
      <c r="G352" s="11">
        <v>1</v>
      </c>
      <c r="H352" s="11">
        <v>178719000</v>
      </c>
      <c r="I352" s="11" t="str">
        <f>"Tháng"&amp;" "&amp;MONTH(Du_Lieu[[#This Row],[Date]])</f>
        <v>Tháng 10</v>
      </c>
      <c r="J352" s="12">
        <f t="shared" si="15"/>
        <v>7650.64212328767</v>
      </c>
      <c r="K352" s="12" t="str">
        <f t="shared" si="16"/>
        <v>CLIENTELING OR CT</v>
      </c>
      <c r="L352" s="13">
        <f t="shared" si="17"/>
        <v>1</v>
      </c>
      <c r="M352" s="15"/>
      <c r="N352" s="7">
        <f>COUNTIF(F:F,Du_Lieu[[#This Row],[Invoice]])</f>
        <v>1</v>
      </c>
    </row>
    <row r="353" spans="1:14">
      <c r="A353" s="10">
        <v>44500</v>
      </c>
      <c r="B353" s="7" t="s">
        <v>13</v>
      </c>
      <c r="C353" s="7" t="s">
        <v>59</v>
      </c>
      <c r="D353" s="7" t="s">
        <v>818</v>
      </c>
      <c r="E353" s="7" t="s">
        <v>819</v>
      </c>
      <c r="F353" s="7" t="s">
        <v>820</v>
      </c>
      <c r="G353" s="11">
        <v>1</v>
      </c>
      <c r="H353" s="11">
        <v>82139000</v>
      </c>
      <c r="I353" s="11" t="str">
        <f>"Tháng"&amp;" "&amp;MONTH(Du_Lieu[[#This Row],[Date]])</f>
        <v>Tháng 10</v>
      </c>
      <c r="J353" s="12">
        <f t="shared" si="15"/>
        <v>3516.22431506849</v>
      </c>
      <c r="K353" s="12" t="str">
        <f t="shared" si="16"/>
        <v>CLIENTELING OR CT</v>
      </c>
      <c r="L353" s="13">
        <f t="shared" si="17"/>
        <v>1</v>
      </c>
      <c r="M353" s="15"/>
      <c r="N353" s="7">
        <f>COUNTIF(F:F,Du_Lieu[[#This Row],[Invoice]])</f>
        <v>1</v>
      </c>
    </row>
    <row r="354" spans="1:14">
      <c r="A354" s="10">
        <v>44500</v>
      </c>
      <c r="B354" s="7" t="s">
        <v>13</v>
      </c>
      <c r="C354" s="7" t="s">
        <v>59</v>
      </c>
      <c r="D354" s="7" t="s">
        <v>659</v>
      </c>
      <c r="E354" s="7" t="s">
        <v>821</v>
      </c>
      <c r="F354" s="7" t="s">
        <v>822</v>
      </c>
      <c r="G354" s="11">
        <v>1</v>
      </c>
      <c r="H354" s="11">
        <v>92067000</v>
      </c>
      <c r="I354" s="11" t="str">
        <f>"Tháng"&amp;" "&amp;MONTH(Du_Lieu[[#This Row],[Date]])</f>
        <v>Tháng 10</v>
      </c>
      <c r="J354" s="12">
        <f t="shared" si="15"/>
        <v>3941.22431506849</v>
      </c>
      <c r="K354" s="12" t="str">
        <f t="shared" si="16"/>
        <v>CLIENTELING OR CT</v>
      </c>
      <c r="L354" s="13">
        <f t="shared" si="17"/>
        <v>0.5</v>
      </c>
      <c r="M354" s="15"/>
      <c r="N354" s="7">
        <f>COUNTIF(F:F,Du_Lieu[[#This Row],[Invoice]])</f>
        <v>2</v>
      </c>
    </row>
    <row r="355" spans="1:14">
      <c r="A355" s="10">
        <v>44500</v>
      </c>
      <c r="B355" s="7" t="s">
        <v>13</v>
      </c>
      <c r="C355" s="7" t="s">
        <v>59</v>
      </c>
      <c r="D355" s="7" t="s">
        <v>823</v>
      </c>
      <c r="E355" s="7" t="s">
        <v>821</v>
      </c>
      <c r="F355" s="7" t="s">
        <v>822</v>
      </c>
      <c r="G355" s="11">
        <v>1</v>
      </c>
      <c r="H355" s="11">
        <v>56865000</v>
      </c>
      <c r="I355" s="11" t="str">
        <f>"Tháng"&amp;" "&amp;MONTH(Du_Lieu[[#This Row],[Date]])</f>
        <v>Tháng 10</v>
      </c>
      <c r="J355" s="12">
        <f t="shared" si="15"/>
        <v>2434.28938356164</v>
      </c>
      <c r="K355" s="12" t="str">
        <f t="shared" si="16"/>
        <v>OTHER</v>
      </c>
      <c r="L355" s="13">
        <f t="shared" si="17"/>
        <v>0.5</v>
      </c>
      <c r="M355" s="15"/>
      <c r="N355" s="7">
        <f>COUNTIF(F:F,Du_Lieu[[#This Row],[Invoice]])</f>
        <v>2</v>
      </c>
    </row>
    <row r="356" spans="1:14">
      <c r="A356" s="10">
        <v>44500</v>
      </c>
      <c r="B356" s="7" t="s">
        <v>13</v>
      </c>
      <c r="C356" s="7" t="s">
        <v>59</v>
      </c>
      <c r="D356" s="7" t="s">
        <v>824</v>
      </c>
      <c r="E356" s="7" t="s">
        <v>825</v>
      </c>
      <c r="F356" s="7" t="s">
        <v>826</v>
      </c>
      <c r="G356" s="11">
        <v>1</v>
      </c>
      <c r="H356" s="11">
        <v>12366000</v>
      </c>
      <c r="I356" s="11" t="str">
        <f>"Tháng"&amp;" "&amp;MONTH(Du_Lieu[[#This Row],[Date]])</f>
        <v>Tháng 10</v>
      </c>
      <c r="J356" s="12">
        <f t="shared" si="15"/>
        <v>529.366438356164</v>
      </c>
      <c r="K356" s="12" t="str">
        <f t="shared" si="16"/>
        <v>OTHER</v>
      </c>
      <c r="L356" s="13">
        <f t="shared" si="17"/>
        <v>1</v>
      </c>
      <c r="M356" s="15"/>
      <c r="N356" s="7">
        <f>COUNTIF(F:F,Du_Lieu[[#This Row],[Invoice]])</f>
        <v>1</v>
      </c>
    </row>
    <row r="357" spans="1:14">
      <c r="A357" s="10">
        <v>44500</v>
      </c>
      <c r="B357" s="7" t="s">
        <v>13</v>
      </c>
      <c r="C357" s="7" t="s">
        <v>59</v>
      </c>
      <c r="D357" s="7" t="s">
        <v>827</v>
      </c>
      <c r="E357" s="7" t="s">
        <v>828</v>
      </c>
      <c r="F357" s="7" t="s">
        <v>829</v>
      </c>
      <c r="G357" s="11">
        <v>1</v>
      </c>
      <c r="H357" s="11">
        <v>164277000</v>
      </c>
      <c r="I357" s="11" t="str">
        <f>"Tháng"&amp;" "&amp;MONTH(Du_Lieu[[#This Row],[Date]])</f>
        <v>Tháng 10</v>
      </c>
      <c r="J357" s="12">
        <f t="shared" si="15"/>
        <v>7032.40582191781</v>
      </c>
      <c r="K357" s="12" t="str">
        <f t="shared" si="16"/>
        <v>CLIENTELING OR CT</v>
      </c>
      <c r="L357" s="13">
        <f t="shared" si="17"/>
        <v>0.333333333333333</v>
      </c>
      <c r="M357" s="15"/>
      <c r="N357" s="7">
        <f>COUNTIF(F:F,Du_Lieu[[#This Row],[Invoice]])</f>
        <v>2</v>
      </c>
    </row>
    <row r="358" spans="1:14">
      <c r="A358" s="10">
        <v>44500</v>
      </c>
      <c r="B358" s="7" t="s">
        <v>13</v>
      </c>
      <c r="C358" s="7" t="s">
        <v>59</v>
      </c>
      <c r="D358" s="7" t="s">
        <v>830</v>
      </c>
      <c r="E358" s="7" t="s">
        <v>828</v>
      </c>
      <c r="F358" s="7" t="s">
        <v>829</v>
      </c>
      <c r="G358" s="11">
        <v>1</v>
      </c>
      <c r="H358" s="11">
        <v>28884000</v>
      </c>
      <c r="I358" s="11" t="str">
        <f>"Tháng"&amp;" "&amp;MONTH(Du_Lieu[[#This Row],[Date]])</f>
        <v>Tháng 10</v>
      </c>
      <c r="J358" s="12">
        <f t="shared" si="15"/>
        <v>1236.47260273973</v>
      </c>
      <c r="K358" s="12" t="str">
        <f t="shared" si="16"/>
        <v>OTHER</v>
      </c>
      <c r="L358" s="13">
        <f t="shared" si="17"/>
        <v>0.333333333333333</v>
      </c>
      <c r="M358" s="15"/>
      <c r="N358" s="7">
        <f>COUNTIF(F:F,Du_Lieu[[#This Row],[Invoice]])</f>
        <v>2</v>
      </c>
    </row>
    <row r="359" spans="1:14">
      <c r="A359" s="10">
        <v>44502</v>
      </c>
      <c r="B359" s="7" t="s">
        <v>44</v>
      </c>
      <c r="C359" s="7" t="s">
        <v>59</v>
      </c>
      <c r="D359" s="7" t="s">
        <v>831</v>
      </c>
      <c r="E359" s="7" t="s">
        <v>832</v>
      </c>
      <c r="F359" s="7" t="s">
        <v>833</v>
      </c>
      <c r="G359" s="11">
        <v>1</v>
      </c>
      <c r="H359" s="11">
        <v>6951000</v>
      </c>
      <c r="I359" s="11" t="str">
        <f>"Tháng"&amp;" "&amp;MONTH(Du_Lieu[[#This Row],[Date]])</f>
        <v>Tháng 11</v>
      </c>
      <c r="J359" s="12">
        <f t="shared" si="15"/>
        <v>297.559931506849</v>
      </c>
      <c r="K359" s="12" t="str">
        <f t="shared" si="16"/>
        <v>OTHER</v>
      </c>
      <c r="L359" s="13">
        <f t="shared" si="17"/>
        <v>1</v>
      </c>
      <c r="M359" s="15"/>
      <c r="N359" s="7">
        <f>COUNTIF(F:F,Du_Lieu[[#This Row],[Invoice]])</f>
        <v>1</v>
      </c>
    </row>
    <row r="360" spans="1:14">
      <c r="A360" s="10">
        <v>44502</v>
      </c>
      <c r="B360" s="7" t="s">
        <v>13</v>
      </c>
      <c r="C360" s="7" t="s">
        <v>59</v>
      </c>
      <c r="D360" s="7" t="s">
        <v>376</v>
      </c>
      <c r="E360" s="7" t="s">
        <v>834</v>
      </c>
      <c r="F360" s="7" t="s">
        <v>835</v>
      </c>
      <c r="G360" s="11">
        <v>1</v>
      </c>
      <c r="H360" s="11">
        <v>8485000</v>
      </c>
      <c r="I360" s="11" t="str">
        <f>"Tháng"&amp;" "&amp;MONTH(Du_Lieu[[#This Row],[Date]])</f>
        <v>Tháng 11</v>
      </c>
      <c r="J360" s="12">
        <f t="shared" si="15"/>
        <v>363.227739726027</v>
      </c>
      <c r="K360" s="12" t="str">
        <f t="shared" si="16"/>
        <v>OTHER</v>
      </c>
      <c r="L360" s="13">
        <f t="shared" si="17"/>
        <v>1</v>
      </c>
      <c r="M360" s="15"/>
      <c r="N360" s="7">
        <f>COUNTIF(F:F,Du_Lieu[[#This Row],[Invoice]])</f>
        <v>1</v>
      </c>
    </row>
    <row r="361" spans="1:14">
      <c r="A361" s="10">
        <v>44503</v>
      </c>
      <c r="B361" s="7" t="s">
        <v>44</v>
      </c>
      <c r="C361" s="7" t="s">
        <v>59</v>
      </c>
      <c r="D361" s="7" t="s">
        <v>475</v>
      </c>
      <c r="E361" s="7" t="s">
        <v>836</v>
      </c>
      <c r="F361" s="7" t="s">
        <v>837</v>
      </c>
      <c r="G361" s="11">
        <v>1</v>
      </c>
      <c r="H361" s="11">
        <v>9388000</v>
      </c>
      <c r="I361" s="11" t="str">
        <f>"Tháng"&amp;" "&amp;MONTH(Du_Lieu[[#This Row],[Date]])</f>
        <v>Tháng 11</v>
      </c>
      <c r="J361" s="12">
        <f t="shared" si="15"/>
        <v>401.883561643836</v>
      </c>
      <c r="K361" s="12" t="str">
        <f t="shared" si="16"/>
        <v>OTHER</v>
      </c>
      <c r="L361" s="13">
        <f t="shared" si="17"/>
        <v>1</v>
      </c>
      <c r="M361" s="15"/>
      <c r="N361" s="7">
        <f>COUNTIF(F:F,Du_Lieu[[#This Row],[Invoice]])</f>
        <v>1</v>
      </c>
    </row>
    <row r="362" spans="1:14">
      <c r="A362" s="10">
        <v>44503</v>
      </c>
      <c r="B362" s="7" t="s">
        <v>15</v>
      </c>
      <c r="C362" s="7" t="s">
        <v>59</v>
      </c>
      <c r="D362" s="7" t="s">
        <v>838</v>
      </c>
      <c r="E362" s="7" t="s">
        <v>839</v>
      </c>
      <c r="F362" s="7" t="s">
        <v>840</v>
      </c>
      <c r="G362" s="11">
        <v>1</v>
      </c>
      <c r="H362" s="11">
        <v>56865000</v>
      </c>
      <c r="I362" s="11" t="str">
        <f>"Tháng"&amp;" "&amp;MONTH(Du_Lieu[[#This Row],[Date]])</f>
        <v>Tháng 11</v>
      </c>
      <c r="J362" s="12">
        <f t="shared" si="15"/>
        <v>2434.28938356164</v>
      </c>
      <c r="K362" s="12" t="str">
        <f t="shared" si="16"/>
        <v>OTHER</v>
      </c>
      <c r="L362" s="13">
        <f t="shared" si="17"/>
        <v>1</v>
      </c>
      <c r="M362" s="15"/>
      <c r="N362" s="7">
        <f>COUNTIF(F:F,Du_Lieu[[#This Row],[Invoice]])</f>
        <v>1</v>
      </c>
    </row>
    <row r="363" spans="1:14">
      <c r="A363" s="10">
        <v>44504</v>
      </c>
      <c r="B363" s="7" t="s">
        <v>44</v>
      </c>
      <c r="C363" s="7" t="s">
        <v>59</v>
      </c>
      <c r="D363" s="7" t="s">
        <v>841</v>
      </c>
      <c r="E363" s="7" t="s">
        <v>842</v>
      </c>
      <c r="F363" s="7" t="s">
        <v>843</v>
      </c>
      <c r="G363" s="11">
        <v>1</v>
      </c>
      <c r="H363" s="11">
        <v>6951000</v>
      </c>
      <c r="I363" s="11" t="str">
        <f>"Tháng"&amp;" "&amp;MONTH(Du_Lieu[[#This Row],[Date]])</f>
        <v>Tháng 11</v>
      </c>
      <c r="J363" s="12">
        <f t="shared" si="15"/>
        <v>297.559931506849</v>
      </c>
      <c r="K363" s="12" t="str">
        <f t="shared" si="16"/>
        <v>OTHER</v>
      </c>
      <c r="L363" s="13">
        <f t="shared" si="17"/>
        <v>1</v>
      </c>
      <c r="M363" s="15"/>
      <c r="N363" s="7">
        <f>COUNTIF(F:F,Du_Lieu[[#This Row],[Invoice]])</f>
        <v>1</v>
      </c>
    </row>
    <row r="364" spans="1:14">
      <c r="A364" s="10">
        <v>44506</v>
      </c>
      <c r="B364" s="7" t="s">
        <v>44</v>
      </c>
      <c r="C364" s="7" t="s">
        <v>59</v>
      </c>
      <c r="D364" s="7" t="s">
        <v>844</v>
      </c>
      <c r="E364" s="7" t="s">
        <v>845</v>
      </c>
      <c r="F364" s="7" t="s">
        <v>846</v>
      </c>
      <c r="G364" s="11">
        <v>1</v>
      </c>
      <c r="H364" s="11">
        <v>56865000</v>
      </c>
      <c r="I364" s="11" t="str">
        <f>"Tháng"&amp;" "&amp;MONTH(Du_Lieu[[#This Row],[Date]])</f>
        <v>Tháng 11</v>
      </c>
      <c r="J364" s="12">
        <f t="shared" si="15"/>
        <v>2434.28938356164</v>
      </c>
      <c r="K364" s="12" t="str">
        <f t="shared" si="16"/>
        <v>OTHER</v>
      </c>
      <c r="L364" s="13">
        <f t="shared" si="17"/>
        <v>1</v>
      </c>
      <c r="M364" s="15"/>
      <c r="N364" s="7">
        <f>COUNTIF(F:F,Du_Lieu[[#This Row],[Invoice]])</f>
        <v>1</v>
      </c>
    </row>
    <row r="365" spans="1:14">
      <c r="A365" s="10">
        <v>44506</v>
      </c>
      <c r="B365" s="7" t="s">
        <v>15</v>
      </c>
      <c r="C365" s="7" t="s">
        <v>59</v>
      </c>
      <c r="D365" s="7" t="s">
        <v>847</v>
      </c>
      <c r="E365" s="7" t="s">
        <v>848</v>
      </c>
      <c r="F365" s="7" t="s">
        <v>849</v>
      </c>
      <c r="G365" s="11">
        <v>1</v>
      </c>
      <c r="H365" s="11">
        <v>56865000</v>
      </c>
      <c r="I365" s="11" t="str">
        <f>"Tháng"&amp;" "&amp;MONTH(Du_Lieu[[#This Row],[Date]])</f>
        <v>Tháng 11</v>
      </c>
      <c r="J365" s="12">
        <f t="shared" si="15"/>
        <v>2434.28938356164</v>
      </c>
      <c r="K365" s="12" t="str">
        <f t="shared" si="16"/>
        <v>OTHER</v>
      </c>
      <c r="L365" s="13">
        <f t="shared" si="17"/>
        <v>0.5</v>
      </c>
      <c r="M365" s="15"/>
      <c r="N365" s="7">
        <f>COUNTIF(F:F,Du_Lieu[[#This Row],[Invoice]])</f>
        <v>2</v>
      </c>
    </row>
    <row r="366" spans="1:14">
      <c r="A366" s="10">
        <v>44506</v>
      </c>
      <c r="B366" s="7" t="s">
        <v>15</v>
      </c>
      <c r="C366" s="7" t="s">
        <v>59</v>
      </c>
      <c r="D366" s="7" t="s">
        <v>850</v>
      </c>
      <c r="E366" s="7" t="s">
        <v>848</v>
      </c>
      <c r="F366" s="7" t="s">
        <v>849</v>
      </c>
      <c r="G366" s="11">
        <v>1</v>
      </c>
      <c r="H366" s="11">
        <v>48742000</v>
      </c>
      <c r="I366" s="11" t="str">
        <f>"Tháng"&amp;" "&amp;MONTH(Du_Lieu[[#This Row],[Date]])</f>
        <v>Tháng 11</v>
      </c>
      <c r="J366" s="12">
        <f t="shared" si="15"/>
        <v>2086.55821917808</v>
      </c>
      <c r="K366" s="12" t="str">
        <f t="shared" si="16"/>
        <v>OTHER</v>
      </c>
      <c r="L366" s="13">
        <f t="shared" si="17"/>
        <v>0.5</v>
      </c>
      <c r="M366" s="15"/>
      <c r="N366" s="7">
        <f>COUNTIF(F:F,Du_Lieu[[#This Row],[Invoice]])</f>
        <v>2</v>
      </c>
    </row>
    <row r="367" spans="1:14">
      <c r="A367" s="10">
        <v>44506</v>
      </c>
      <c r="B367" s="7" t="s">
        <v>13</v>
      </c>
      <c r="C367" s="7" t="s">
        <v>59</v>
      </c>
      <c r="D367" s="7" t="s">
        <v>851</v>
      </c>
      <c r="E367" s="7" t="s">
        <v>852</v>
      </c>
      <c r="F367" s="7" t="s">
        <v>853</v>
      </c>
      <c r="G367" s="11">
        <v>1</v>
      </c>
      <c r="H367" s="11">
        <v>120951000</v>
      </c>
      <c r="I367" s="11" t="str">
        <f>"Tháng"&amp;" "&amp;MONTH(Du_Lieu[[#This Row],[Date]])</f>
        <v>Tháng 11</v>
      </c>
      <c r="J367" s="12">
        <f t="shared" si="15"/>
        <v>5177.69691780822</v>
      </c>
      <c r="K367" s="12" t="str">
        <f t="shared" si="16"/>
        <v>CLIENTELING OR CT</v>
      </c>
      <c r="L367" s="13">
        <f t="shared" si="17"/>
        <v>0.5</v>
      </c>
      <c r="M367" s="15"/>
      <c r="N367" s="7">
        <f>COUNTIF(F:F,Du_Lieu[[#This Row],[Invoice]])</f>
        <v>2</v>
      </c>
    </row>
    <row r="368" spans="1:14">
      <c r="A368" s="10">
        <v>44506</v>
      </c>
      <c r="B368" s="7" t="s">
        <v>13</v>
      </c>
      <c r="C368" s="7" t="s">
        <v>59</v>
      </c>
      <c r="D368" s="7" t="s">
        <v>854</v>
      </c>
      <c r="E368" s="7" t="s">
        <v>852</v>
      </c>
      <c r="F368" s="7" t="s">
        <v>853</v>
      </c>
      <c r="G368" s="11">
        <v>1</v>
      </c>
      <c r="H368" s="11">
        <v>48742000</v>
      </c>
      <c r="I368" s="11" t="str">
        <f>"Tháng"&amp;" "&amp;MONTH(Du_Lieu[[#This Row],[Date]])</f>
        <v>Tháng 11</v>
      </c>
      <c r="J368" s="12">
        <f t="shared" si="15"/>
        <v>2086.55821917808</v>
      </c>
      <c r="K368" s="12" t="str">
        <f t="shared" si="16"/>
        <v>OTHER</v>
      </c>
      <c r="L368" s="13">
        <f t="shared" si="17"/>
        <v>0.5</v>
      </c>
      <c r="M368" s="15"/>
      <c r="N368" s="7">
        <f>COUNTIF(F:F,Du_Lieu[[#This Row],[Invoice]])</f>
        <v>2</v>
      </c>
    </row>
    <row r="369" spans="1:14">
      <c r="A369" s="10">
        <v>44506</v>
      </c>
      <c r="B369" s="7" t="s">
        <v>44</v>
      </c>
      <c r="C369" s="7" t="s">
        <v>59</v>
      </c>
      <c r="D369" s="7" t="s">
        <v>855</v>
      </c>
      <c r="E369" s="7" t="s">
        <v>856</v>
      </c>
      <c r="F369" s="7" t="s">
        <v>857</v>
      </c>
      <c r="G369" s="11">
        <v>1</v>
      </c>
      <c r="H369" s="11">
        <v>11554000</v>
      </c>
      <c r="I369" s="11" t="str">
        <f>"Tháng"&amp;" "&amp;MONTH(Du_Lieu[[#This Row],[Date]])</f>
        <v>Tháng 11</v>
      </c>
      <c r="J369" s="12">
        <f t="shared" si="15"/>
        <v>494.606164383562</v>
      </c>
      <c r="K369" s="12" t="str">
        <f t="shared" si="16"/>
        <v>OTHER</v>
      </c>
      <c r="L369" s="13">
        <f t="shared" si="17"/>
        <v>1</v>
      </c>
      <c r="M369" s="15"/>
      <c r="N369" s="7">
        <f>COUNTIF(F:F,Du_Lieu[[#This Row],[Invoice]])</f>
        <v>1</v>
      </c>
    </row>
    <row r="370" spans="1:14">
      <c r="A370" s="10">
        <v>44506</v>
      </c>
      <c r="B370" s="7" t="s">
        <v>13</v>
      </c>
      <c r="C370" s="7" t="s">
        <v>59</v>
      </c>
      <c r="D370" s="7" t="s">
        <v>567</v>
      </c>
      <c r="E370" s="7" t="s">
        <v>858</v>
      </c>
      <c r="F370" s="7" t="s">
        <v>859</v>
      </c>
      <c r="G370" s="11">
        <v>1</v>
      </c>
      <c r="H370" s="11">
        <v>48742000</v>
      </c>
      <c r="I370" s="11" t="str">
        <f>"Tháng"&amp;" "&amp;MONTH(Du_Lieu[[#This Row],[Date]])</f>
        <v>Tháng 11</v>
      </c>
      <c r="J370" s="12">
        <f t="shared" si="15"/>
        <v>2086.55821917808</v>
      </c>
      <c r="K370" s="12" t="str">
        <f t="shared" si="16"/>
        <v>OTHER</v>
      </c>
      <c r="L370" s="13">
        <f t="shared" si="17"/>
        <v>0.333333333333333</v>
      </c>
      <c r="M370" s="15"/>
      <c r="N370" s="7">
        <f>COUNTIF(F:F,Du_Lieu[[#This Row],[Invoice]])</f>
        <v>3</v>
      </c>
    </row>
    <row r="371" spans="1:14">
      <c r="A371" s="10">
        <v>44506</v>
      </c>
      <c r="B371" s="7" t="s">
        <v>13</v>
      </c>
      <c r="C371" s="7" t="s">
        <v>59</v>
      </c>
      <c r="D371" s="7" t="s">
        <v>860</v>
      </c>
      <c r="E371" s="7" t="s">
        <v>858</v>
      </c>
      <c r="F371" s="7" t="s">
        <v>859</v>
      </c>
      <c r="G371" s="11">
        <v>1</v>
      </c>
      <c r="H371" s="11">
        <v>28884000</v>
      </c>
      <c r="I371" s="11" t="str">
        <f>"Tháng"&amp;" "&amp;MONTH(Du_Lieu[[#This Row],[Date]])</f>
        <v>Tháng 11</v>
      </c>
      <c r="J371" s="12">
        <f t="shared" si="15"/>
        <v>1236.47260273973</v>
      </c>
      <c r="K371" s="12" t="str">
        <f t="shared" si="16"/>
        <v>OTHER</v>
      </c>
      <c r="L371" s="13">
        <f t="shared" si="17"/>
        <v>0.333333333333333</v>
      </c>
      <c r="M371" s="15"/>
      <c r="N371" s="7">
        <f>COUNTIF(F:F,Du_Lieu[[#This Row],[Invoice]])</f>
        <v>3</v>
      </c>
    </row>
    <row r="372" spans="1:14">
      <c r="A372" s="10">
        <v>44506</v>
      </c>
      <c r="B372" s="7" t="s">
        <v>13</v>
      </c>
      <c r="C372" s="7" t="s">
        <v>59</v>
      </c>
      <c r="D372" s="7" t="s">
        <v>468</v>
      </c>
      <c r="E372" s="7" t="s">
        <v>858</v>
      </c>
      <c r="F372" s="7" t="s">
        <v>859</v>
      </c>
      <c r="G372" s="11">
        <v>1</v>
      </c>
      <c r="H372" s="11">
        <v>26176000</v>
      </c>
      <c r="I372" s="11" t="str">
        <f>"Tháng"&amp;" "&amp;MONTH(Du_Lieu[[#This Row],[Date]])</f>
        <v>Tháng 11</v>
      </c>
      <c r="J372" s="12">
        <f t="shared" si="15"/>
        <v>1120.54794520548</v>
      </c>
      <c r="K372" s="12" t="str">
        <f t="shared" si="16"/>
        <v>OTHER</v>
      </c>
      <c r="L372" s="13">
        <f t="shared" si="17"/>
        <v>0.333333333333333</v>
      </c>
      <c r="M372" s="15"/>
      <c r="N372" s="7">
        <f>COUNTIF(F:F,Du_Lieu[[#This Row],[Invoice]])</f>
        <v>3</v>
      </c>
    </row>
    <row r="373" spans="1:14">
      <c r="A373" s="10">
        <v>44506</v>
      </c>
      <c r="B373" s="7" t="s">
        <v>215</v>
      </c>
      <c r="C373" s="7" t="s">
        <v>59</v>
      </c>
      <c r="D373" s="7" t="s">
        <v>861</v>
      </c>
      <c r="E373" s="7" t="s">
        <v>862</v>
      </c>
      <c r="F373" s="7" t="s">
        <v>863</v>
      </c>
      <c r="G373" s="11">
        <v>1</v>
      </c>
      <c r="H373" s="11">
        <v>1610268800</v>
      </c>
      <c r="I373" s="11" t="str">
        <f>"Tháng"&amp;" "&amp;MONTH(Du_Lieu[[#This Row],[Date]])</f>
        <v>Tháng 11</v>
      </c>
      <c r="J373" s="12">
        <f t="shared" si="15"/>
        <v>68932.7397260274</v>
      </c>
      <c r="K373" s="12" t="str">
        <f t="shared" si="16"/>
        <v>PLATINUM</v>
      </c>
      <c r="L373" s="13">
        <f t="shared" si="17"/>
        <v>1</v>
      </c>
      <c r="M373" s="15"/>
      <c r="N373" s="7">
        <f>COUNTIF(F:F,Du_Lieu[[#This Row],[Invoice]])</f>
        <v>1</v>
      </c>
    </row>
    <row r="374" spans="1:14">
      <c r="A374" s="10">
        <v>44510</v>
      </c>
      <c r="B374" s="7" t="s">
        <v>44</v>
      </c>
      <c r="C374" s="7" t="s">
        <v>59</v>
      </c>
      <c r="D374" s="7" t="s">
        <v>689</v>
      </c>
      <c r="E374" s="7" t="s">
        <v>864</v>
      </c>
      <c r="F374" s="7" t="s">
        <v>865</v>
      </c>
      <c r="G374" s="11">
        <v>1</v>
      </c>
      <c r="H374" s="11">
        <v>6951000</v>
      </c>
      <c r="I374" s="11" t="str">
        <f>"Tháng"&amp;" "&amp;MONTH(Du_Lieu[[#This Row],[Date]])</f>
        <v>Tháng 11</v>
      </c>
      <c r="J374" s="12">
        <f t="shared" si="15"/>
        <v>297.559931506849</v>
      </c>
      <c r="K374" s="12" t="str">
        <f t="shared" si="16"/>
        <v>OTHER</v>
      </c>
      <c r="L374" s="13">
        <f t="shared" si="17"/>
        <v>1</v>
      </c>
      <c r="M374" s="15"/>
      <c r="N374" s="7">
        <f>COUNTIF(F:F,Du_Lieu[[#This Row],[Invoice]])</f>
        <v>1</v>
      </c>
    </row>
    <row r="375" spans="1:14">
      <c r="A375" s="10">
        <v>44510</v>
      </c>
      <c r="B375" s="7" t="s">
        <v>15</v>
      </c>
      <c r="C375" s="7" t="s">
        <v>59</v>
      </c>
      <c r="D375" s="7" t="s">
        <v>738</v>
      </c>
      <c r="E375" s="7" t="s">
        <v>866</v>
      </c>
      <c r="F375" s="7" t="s">
        <v>867</v>
      </c>
      <c r="G375" s="11">
        <v>1</v>
      </c>
      <c r="H375" s="11">
        <v>6951000</v>
      </c>
      <c r="I375" s="11" t="str">
        <f>"Tháng"&amp;" "&amp;MONTH(Du_Lieu[[#This Row],[Date]])</f>
        <v>Tháng 11</v>
      </c>
      <c r="J375" s="12">
        <f t="shared" si="15"/>
        <v>297.559931506849</v>
      </c>
      <c r="K375" s="12" t="str">
        <f t="shared" si="16"/>
        <v>OTHER</v>
      </c>
      <c r="L375" s="13">
        <f t="shared" si="17"/>
        <v>1</v>
      </c>
      <c r="M375" s="15"/>
      <c r="N375" s="7">
        <f>COUNTIF(F:F,Du_Lieu[[#This Row],[Invoice]])</f>
        <v>1</v>
      </c>
    </row>
    <row r="376" spans="1:14">
      <c r="A376" s="10">
        <v>44510</v>
      </c>
      <c r="B376" s="7" t="s">
        <v>44</v>
      </c>
      <c r="C376" s="7" t="s">
        <v>59</v>
      </c>
      <c r="D376" s="7" t="s">
        <v>275</v>
      </c>
      <c r="E376" s="7" t="s">
        <v>868</v>
      </c>
      <c r="F376" s="7" t="s">
        <v>869</v>
      </c>
      <c r="G376" s="11">
        <v>1</v>
      </c>
      <c r="H376" s="11">
        <v>14713000</v>
      </c>
      <c r="I376" s="11" t="str">
        <f>"Tháng"&amp;" "&amp;MONTH(Du_Lieu[[#This Row],[Date]])</f>
        <v>Tháng 11</v>
      </c>
      <c r="J376" s="12">
        <f t="shared" si="15"/>
        <v>629.837328767123</v>
      </c>
      <c r="K376" s="12" t="str">
        <f t="shared" si="16"/>
        <v>OTHER</v>
      </c>
      <c r="L376" s="13">
        <f t="shared" si="17"/>
        <v>1</v>
      </c>
      <c r="M376" s="15"/>
      <c r="N376" s="7">
        <f>COUNTIF(F:F,Du_Lieu[[#This Row],[Invoice]])</f>
        <v>1</v>
      </c>
    </row>
    <row r="377" spans="1:14">
      <c r="A377" s="10">
        <v>44511</v>
      </c>
      <c r="B377" s="7" t="s">
        <v>44</v>
      </c>
      <c r="C377" s="7" t="s">
        <v>59</v>
      </c>
      <c r="D377" s="7" t="s">
        <v>403</v>
      </c>
      <c r="E377" s="7" t="s">
        <v>870</v>
      </c>
      <c r="F377" s="7" t="s">
        <v>871</v>
      </c>
      <c r="G377" s="11">
        <v>1</v>
      </c>
      <c r="H377" s="11">
        <v>26176000</v>
      </c>
      <c r="I377" s="11" t="str">
        <f>"Tháng"&amp;" "&amp;MONTH(Du_Lieu[[#This Row],[Date]])</f>
        <v>Tháng 11</v>
      </c>
      <c r="J377" s="12">
        <f t="shared" si="15"/>
        <v>1120.54794520548</v>
      </c>
      <c r="K377" s="12" t="str">
        <f t="shared" si="16"/>
        <v>OTHER</v>
      </c>
      <c r="L377" s="13">
        <f t="shared" si="17"/>
        <v>1</v>
      </c>
      <c r="M377" s="15"/>
      <c r="N377" s="7">
        <f>COUNTIF(F:F,Du_Lieu[[#This Row],[Invoice]])</f>
        <v>1</v>
      </c>
    </row>
    <row r="378" spans="1:14">
      <c r="A378" s="10">
        <v>44511</v>
      </c>
      <c r="B378" s="7" t="s">
        <v>44</v>
      </c>
      <c r="C378" s="7" t="s">
        <v>59</v>
      </c>
      <c r="D378" s="7" t="s">
        <v>872</v>
      </c>
      <c r="E378" s="7" t="s">
        <v>873</v>
      </c>
      <c r="F378" s="7" t="s">
        <v>874</v>
      </c>
      <c r="G378" s="11">
        <v>1</v>
      </c>
      <c r="H378" s="11">
        <v>46937000</v>
      </c>
      <c r="I378" s="11" t="str">
        <f>"Tháng"&amp;" "&amp;MONTH(Du_Lieu[[#This Row],[Date]])</f>
        <v>Tháng 11</v>
      </c>
      <c r="J378" s="12">
        <f t="shared" si="15"/>
        <v>2009.28938356164</v>
      </c>
      <c r="K378" s="12" t="str">
        <f t="shared" si="16"/>
        <v>OTHER</v>
      </c>
      <c r="L378" s="13">
        <f t="shared" si="17"/>
        <v>1</v>
      </c>
      <c r="M378" s="15"/>
      <c r="N378" s="7">
        <f>COUNTIF(F:F,Du_Lieu[[#This Row],[Invoice]])</f>
        <v>1</v>
      </c>
    </row>
    <row r="379" spans="1:14">
      <c r="A379" s="10">
        <v>44512</v>
      </c>
      <c r="B379" s="7" t="s">
        <v>44</v>
      </c>
      <c r="C379" s="7" t="s">
        <v>59</v>
      </c>
      <c r="D379" s="7" t="s">
        <v>403</v>
      </c>
      <c r="E379" s="7" t="s">
        <v>875</v>
      </c>
      <c r="F379" s="7" t="s">
        <v>876</v>
      </c>
      <c r="G379" s="11">
        <v>1</v>
      </c>
      <c r="H379" s="11">
        <v>26176000</v>
      </c>
      <c r="I379" s="11" t="str">
        <f>"Tháng"&amp;" "&amp;MONTH(Du_Lieu[[#This Row],[Date]])</f>
        <v>Tháng 11</v>
      </c>
      <c r="J379" s="12">
        <f t="shared" si="15"/>
        <v>1120.54794520548</v>
      </c>
      <c r="K379" s="12" t="str">
        <f t="shared" si="16"/>
        <v>OTHER</v>
      </c>
      <c r="L379" s="13">
        <f t="shared" si="17"/>
        <v>0.333333333333333</v>
      </c>
      <c r="M379" s="15"/>
      <c r="N379" s="7">
        <f>COUNTIF(F:F,Du_Lieu[[#This Row],[Invoice]])</f>
        <v>1</v>
      </c>
    </row>
    <row r="380" spans="1:14">
      <c r="A380" s="10">
        <v>44512</v>
      </c>
      <c r="B380" s="7" t="s">
        <v>44</v>
      </c>
      <c r="C380" s="7" t="s">
        <v>59</v>
      </c>
      <c r="D380" s="7" t="s">
        <v>403</v>
      </c>
      <c r="E380" s="7" t="s">
        <v>875</v>
      </c>
      <c r="F380" s="7" t="s">
        <v>877</v>
      </c>
      <c r="G380" s="11">
        <v>-1</v>
      </c>
      <c r="H380" s="11">
        <v>-26176000</v>
      </c>
      <c r="I380" s="11" t="str">
        <f>"Tháng"&amp;" "&amp;MONTH(Du_Lieu[[#This Row],[Date]])</f>
        <v>Tháng 11</v>
      </c>
      <c r="J380" s="12">
        <f t="shared" si="15"/>
        <v>-1120.54794520548</v>
      </c>
      <c r="K380" s="12" t="str">
        <f t="shared" si="16"/>
        <v>OTHER</v>
      </c>
      <c r="L380" s="13">
        <f t="shared" si="17"/>
        <v>0.333333333333333</v>
      </c>
      <c r="M380" s="15"/>
      <c r="N380" s="7">
        <f>COUNTIF(F:F,Du_Lieu[[#This Row],[Invoice]])</f>
        <v>1</v>
      </c>
    </row>
    <row r="381" spans="1:14">
      <c r="A381" s="10">
        <v>44512</v>
      </c>
      <c r="B381" s="7" t="s">
        <v>44</v>
      </c>
      <c r="C381" s="7" t="s">
        <v>59</v>
      </c>
      <c r="D381" s="7" t="s">
        <v>403</v>
      </c>
      <c r="E381" s="7" t="s">
        <v>875</v>
      </c>
      <c r="F381" s="7" t="s">
        <v>878</v>
      </c>
      <c r="G381" s="11">
        <v>1</v>
      </c>
      <c r="H381" s="11">
        <v>26176000</v>
      </c>
      <c r="I381" s="11" t="str">
        <f>"Tháng"&amp;" "&amp;MONTH(Du_Lieu[[#This Row],[Date]])</f>
        <v>Tháng 11</v>
      </c>
      <c r="J381" s="12">
        <f t="shared" si="15"/>
        <v>1120.54794520548</v>
      </c>
      <c r="K381" s="12" t="str">
        <f t="shared" si="16"/>
        <v>OTHER</v>
      </c>
      <c r="L381" s="13">
        <f t="shared" si="17"/>
        <v>0.333333333333333</v>
      </c>
      <c r="M381" s="15"/>
      <c r="N381" s="7">
        <f>COUNTIF(F:F,Du_Lieu[[#This Row],[Invoice]])</f>
        <v>1</v>
      </c>
    </row>
    <row r="382" spans="1:14">
      <c r="A382" s="10">
        <v>44512</v>
      </c>
      <c r="B382" s="7" t="s">
        <v>44</v>
      </c>
      <c r="C382" s="7" t="s">
        <v>59</v>
      </c>
      <c r="D382" s="7" t="s">
        <v>879</v>
      </c>
      <c r="E382" s="7" t="s">
        <v>880</v>
      </c>
      <c r="F382" s="7" t="s">
        <v>881</v>
      </c>
      <c r="G382" s="11">
        <v>1</v>
      </c>
      <c r="H382" s="11">
        <v>56865000</v>
      </c>
      <c r="I382" s="11" t="str">
        <f>"Tháng"&amp;" "&amp;MONTH(Du_Lieu[[#This Row],[Date]])</f>
        <v>Tháng 11</v>
      </c>
      <c r="J382" s="12">
        <f t="shared" si="15"/>
        <v>2434.28938356164</v>
      </c>
      <c r="K382" s="12" t="str">
        <f t="shared" si="16"/>
        <v>OTHER</v>
      </c>
      <c r="L382" s="13">
        <f t="shared" si="17"/>
        <v>1</v>
      </c>
      <c r="M382" s="15"/>
      <c r="N382" s="7">
        <f>COUNTIF(F:F,Du_Lieu[[#This Row],[Invoice]])</f>
        <v>1</v>
      </c>
    </row>
    <row r="383" spans="1:14">
      <c r="A383" s="10">
        <v>44512</v>
      </c>
      <c r="B383" s="7" t="s">
        <v>13</v>
      </c>
      <c r="C383" s="7" t="s">
        <v>59</v>
      </c>
      <c r="D383" s="7" t="s">
        <v>882</v>
      </c>
      <c r="E383" s="7" t="s">
        <v>163</v>
      </c>
      <c r="F383" s="7" t="s">
        <v>883</v>
      </c>
      <c r="G383" s="11">
        <v>1</v>
      </c>
      <c r="H383" s="11">
        <v>83041000</v>
      </c>
      <c r="I383" s="11" t="str">
        <f>"Tháng"&amp;" "&amp;MONTH(Du_Lieu[[#This Row],[Date]])</f>
        <v>Tháng 11</v>
      </c>
      <c r="J383" s="12">
        <f t="shared" si="15"/>
        <v>3554.83732876712</v>
      </c>
      <c r="K383" s="12" t="str">
        <f t="shared" si="16"/>
        <v>CLIENTELING OR CT</v>
      </c>
      <c r="L383" s="13">
        <f t="shared" si="17"/>
        <v>0.166666666666667</v>
      </c>
      <c r="M383" s="15"/>
      <c r="N383" s="7">
        <f>COUNTIF(F:F,Du_Lieu[[#This Row],[Invoice]])</f>
        <v>1</v>
      </c>
    </row>
    <row r="384" spans="1:14">
      <c r="A384" s="10">
        <v>44513</v>
      </c>
      <c r="B384" s="7" t="s">
        <v>44</v>
      </c>
      <c r="C384" s="7" t="s">
        <v>59</v>
      </c>
      <c r="D384" s="7" t="s">
        <v>743</v>
      </c>
      <c r="E384" s="7" t="s">
        <v>884</v>
      </c>
      <c r="F384" s="7" t="s">
        <v>885</v>
      </c>
      <c r="G384" s="11">
        <v>1</v>
      </c>
      <c r="H384" s="11">
        <v>10832000</v>
      </c>
      <c r="I384" s="11" t="str">
        <f>"Tháng"&amp;" "&amp;MONTH(Du_Lieu[[#This Row],[Date]])</f>
        <v>Tháng 11</v>
      </c>
      <c r="J384" s="12">
        <f t="shared" si="15"/>
        <v>463.698630136986</v>
      </c>
      <c r="K384" s="12" t="str">
        <f t="shared" si="16"/>
        <v>OTHER</v>
      </c>
      <c r="L384" s="13">
        <f t="shared" si="17"/>
        <v>1</v>
      </c>
      <c r="M384" s="15"/>
      <c r="N384" s="7">
        <f>COUNTIF(F:F,Du_Lieu[[#This Row],[Invoice]])</f>
        <v>1</v>
      </c>
    </row>
    <row r="385" spans="1:14">
      <c r="A385" s="10">
        <v>44513</v>
      </c>
      <c r="B385" s="7" t="s">
        <v>13</v>
      </c>
      <c r="C385" s="7" t="s">
        <v>59</v>
      </c>
      <c r="D385" s="7" t="s">
        <v>886</v>
      </c>
      <c r="E385" s="7" t="s">
        <v>887</v>
      </c>
      <c r="F385" s="7" t="s">
        <v>888</v>
      </c>
      <c r="G385" s="11">
        <v>1</v>
      </c>
      <c r="H385" s="11">
        <v>86652000</v>
      </c>
      <c r="I385" s="11" t="str">
        <f>"Tháng"&amp;" "&amp;MONTH(Du_Lieu[[#This Row],[Date]])</f>
        <v>Tháng 11</v>
      </c>
      <c r="J385" s="12">
        <f t="shared" si="15"/>
        <v>3709.41780821918</v>
      </c>
      <c r="K385" s="12" t="str">
        <f t="shared" si="16"/>
        <v>CLIENTELING OR CT</v>
      </c>
      <c r="L385" s="13">
        <f t="shared" si="17"/>
        <v>0.5</v>
      </c>
      <c r="M385" s="15"/>
      <c r="N385" s="7">
        <f>COUNTIF(F:F,Du_Lieu[[#This Row],[Invoice]])</f>
        <v>2</v>
      </c>
    </row>
    <row r="386" spans="1:14">
      <c r="A386" s="10">
        <v>44513</v>
      </c>
      <c r="B386" s="7" t="s">
        <v>13</v>
      </c>
      <c r="C386" s="7" t="s">
        <v>59</v>
      </c>
      <c r="D386" s="7" t="s">
        <v>889</v>
      </c>
      <c r="E386" s="7" t="s">
        <v>887</v>
      </c>
      <c r="F386" s="7" t="s">
        <v>888</v>
      </c>
      <c r="G386" s="11">
        <v>1</v>
      </c>
      <c r="H386" s="11">
        <v>120951000</v>
      </c>
      <c r="I386" s="11" t="str">
        <f>"Tháng"&amp;" "&amp;MONTH(Du_Lieu[[#This Row],[Date]])</f>
        <v>Tháng 11</v>
      </c>
      <c r="J386" s="12">
        <f t="shared" si="15"/>
        <v>5177.69691780822</v>
      </c>
      <c r="K386" s="12" t="str">
        <f t="shared" si="16"/>
        <v>CLIENTELING OR CT</v>
      </c>
      <c r="L386" s="13">
        <f t="shared" si="17"/>
        <v>0.5</v>
      </c>
      <c r="M386" s="15"/>
      <c r="N386" s="7">
        <f>COUNTIF(F:F,Du_Lieu[[#This Row],[Invoice]])</f>
        <v>2</v>
      </c>
    </row>
    <row r="387" spans="1:14">
      <c r="A387" s="10">
        <v>44513</v>
      </c>
      <c r="B387" s="7" t="s">
        <v>15</v>
      </c>
      <c r="C387" s="7" t="s">
        <v>59</v>
      </c>
      <c r="D387" s="7" t="s">
        <v>226</v>
      </c>
      <c r="E387" s="7" t="s">
        <v>890</v>
      </c>
      <c r="F387" s="7" t="s">
        <v>891</v>
      </c>
      <c r="G387" s="11">
        <v>1</v>
      </c>
      <c r="H387" s="11">
        <v>48742000</v>
      </c>
      <c r="I387" s="11" t="str">
        <f>"Tháng"&amp;" "&amp;MONTH(Du_Lieu[[#This Row],[Date]])</f>
        <v>Tháng 11</v>
      </c>
      <c r="J387" s="12">
        <f t="shared" ref="J387:J450" si="18">H387/$M$2</f>
        <v>2086.55821917808</v>
      </c>
      <c r="K387" s="12" t="str">
        <f t="shared" ref="K387:K450" si="19">IF(J387&gt;50000,"PLATINUM",IF(AND(J387&gt;25000,J387&lt;50000),"GOLD",IF(AND(J387&gt;10000,J387&lt;25000),"SILVER",IF(AND(J387&gt;3000,J387&lt;10000),"CLIENTELING OR CT","OTHER"))))</f>
        <v>OTHER</v>
      </c>
      <c r="L387" s="13">
        <f t="shared" ref="L387:L450" si="20">1/COUNTIF(E:E,E387)</f>
        <v>1</v>
      </c>
      <c r="M387" s="15"/>
      <c r="N387" s="7">
        <f>COUNTIF(F:F,Du_Lieu[[#This Row],[Invoice]])</f>
        <v>1</v>
      </c>
    </row>
    <row r="388" spans="1:14">
      <c r="A388" s="10">
        <v>44513</v>
      </c>
      <c r="B388" s="7" t="s">
        <v>13</v>
      </c>
      <c r="C388" s="7" t="s">
        <v>59</v>
      </c>
      <c r="D388" s="7" t="s">
        <v>892</v>
      </c>
      <c r="E388" s="7" t="s">
        <v>893</v>
      </c>
      <c r="F388" s="7" t="s">
        <v>894</v>
      </c>
      <c r="G388" s="11">
        <v>1</v>
      </c>
      <c r="H388" s="11">
        <v>114633000</v>
      </c>
      <c r="I388" s="11" t="str">
        <f>"Tháng"&amp;" "&amp;MONTH(Du_Lieu[[#This Row],[Date]])</f>
        <v>Tháng 11</v>
      </c>
      <c r="J388" s="12">
        <f t="shared" si="18"/>
        <v>4907.2345890411</v>
      </c>
      <c r="K388" s="12" t="str">
        <f t="shared" si="19"/>
        <v>CLIENTELING OR CT</v>
      </c>
      <c r="L388" s="13">
        <f t="shared" si="20"/>
        <v>0.5</v>
      </c>
      <c r="M388" s="15"/>
      <c r="N388" s="7">
        <f>COUNTIF(F:F,Du_Lieu[[#This Row],[Invoice]])</f>
        <v>2</v>
      </c>
    </row>
    <row r="389" spans="1:14">
      <c r="A389" s="10">
        <v>44513</v>
      </c>
      <c r="B389" s="7" t="s">
        <v>13</v>
      </c>
      <c r="C389" s="7" t="s">
        <v>59</v>
      </c>
      <c r="D389" s="7" t="s">
        <v>740</v>
      </c>
      <c r="E389" s="7" t="s">
        <v>893</v>
      </c>
      <c r="F389" s="7" t="s">
        <v>894</v>
      </c>
      <c r="G389" s="11">
        <v>1</v>
      </c>
      <c r="H389" s="11">
        <v>56865000</v>
      </c>
      <c r="I389" s="11" t="str">
        <f>"Tháng"&amp;" "&amp;MONTH(Du_Lieu[[#This Row],[Date]])</f>
        <v>Tháng 11</v>
      </c>
      <c r="J389" s="12">
        <f t="shared" si="18"/>
        <v>2434.28938356164</v>
      </c>
      <c r="K389" s="12" t="str">
        <f t="shared" si="19"/>
        <v>OTHER</v>
      </c>
      <c r="L389" s="13">
        <f t="shared" si="20"/>
        <v>0.5</v>
      </c>
      <c r="M389" s="15"/>
      <c r="N389" s="7">
        <f>COUNTIF(F:F,Du_Lieu[[#This Row],[Invoice]])</f>
        <v>2</v>
      </c>
    </row>
    <row r="390" spans="1:14">
      <c r="A390" s="10">
        <v>44514</v>
      </c>
      <c r="B390" s="7" t="s">
        <v>44</v>
      </c>
      <c r="C390" s="7" t="s">
        <v>59</v>
      </c>
      <c r="D390" s="7" t="s">
        <v>895</v>
      </c>
      <c r="E390" s="7" t="s">
        <v>896</v>
      </c>
      <c r="F390" s="7" t="s">
        <v>897</v>
      </c>
      <c r="G390" s="11">
        <v>1</v>
      </c>
      <c r="H390" s="11">
        <v>25274000</v>
      </c>
      <c r="I390" s="11" t="str">
        <f>"Tháng"&amp;" "&amp;MONTH(Du_Lieu[[#This Row],[Date]])</f>
        <v>Tháng 11</v>
      </c>
      <c r="J390" s="12">
        <f t="shared" si="18"/>
        <v>1081.93493150685</v>
      </c>
      <c r="K390" s="12" t="str">
        <f t="shared" si="19"/>
        <v>OTHER</v>
      </c>
      <c r="L390" s="13">
        <f t="shared" si="20"/>
        <v>1</v>
      </c>
      <c r="M390" s="15"/>
      <c r="N390" s="7">
        <f>COUNTIF(F:F,Du_Lieu[[#This Row],[Invoice]])</f>
        <v>1</v>
      </c>
    </row>
    <row r="391" spans="1:14">
      <c r="A391" s="10">
        <v>44514</v>
      </c>
      <c r="B391" s="7" t="s">
        <v>15</v>
      </c>
      <c r="C391" s="7" t="s">
        <v>59</v>
      </c>
      <c r="D391" s="7" t="s">
        <v>898</v>
      </c>
      <c r="E391" s="7" t="s">
        <v>899</v>
      </c>
      <c r="F391" s="7" t="s">
        <v>900</v>
      </c>
      <c r="G391" s="11">
        <v>1</v>
      </c>
      <c r="H391" s="11">
        <v>40618000</v>
      </c>
      <c r="I391" s="11" t="str">
        <f>"Tháng"&amp;" "&amp;MONTH(Du_Lieu[[#This Row],[Date]])</f>
        <v>Tháng 11</v>
      </c>
      <c r="J391" s="12">
        <f t="shared" si="18"/>
        <v>1738.78424657534</v>
      </c>
      <c r="K391" s="12" t="str">
        <f t="shared" si="19"/>
        <v>OTHER</v>
      </c>
      <c r="L391" s="13">
        <f t="shared" si="20"/>
        <v>0.5</v>
      </c>
      <c r="M391" s="15"/>
      <c r="N391" s="7">
        <f>COUNTIF(F:F,Du_Lieu[[#This Row],[Invoice]])</f>
        <v>2</v>
      </c>
    </row>
    <row r="392" spans="1:14">
      <c r="A392" s="10">
        <v>44514</v>
      </c>
      <c r="B392" s="7" t="s">
        <v>15</v>
      </c>
      <c r="C392" s="7" t="s">
        <v>59</v>
      </c>
      <c r="D392" s="7" t="s">
        <v>901</v>
      </c>
      <c r="E392" s="7" t="s">
        <v>899</v>
      </c>
      <c r="F392" s="7" t="s">
        <v>900</v>
      </c>
      <c r="G392" s="11">
        <v>1</v>
      </c>
      <c r="H392" s="11">
        <v>40618000</v>
      </c>
      <c r="I392" s="11" t="str">
        <f>"Tháng"&amp;" "&amp;MONTH(Du_Lieu[[#This Row],[Date]])</f>
        <v>Tháng 11</v>
      </c>
      <c r="J392" s="12">
        <f t="shared" si="18"/>
        <v>1738.78424657534</v>
      </c>
      <c r="K392" s="12" t="str">
        <f t="shared" si="19"/>
        <v>OTHER</v>
      </c>
      <c r="L392" s="13">
        <f t="shared" si="20"/>
        <v>0.5</v>
      </c>
      <c r="M392" s="15"/>
      <c r="N392" s="7">
        <f>COUNTIF(F:F,Du_Lieu[[#This Row],[Invoice]])</f>
        <v>2</v>
      </c>
    </row>
    <row r="393" spans="1:14">
      <c r="A393" s="10">
        <v>44514</v>
      </c>
      <c r="B393" s="7" t="s">
        <v>15</v>
      </c>
      <c r="C393" s="7" t="s">
        <v>59</v>
      </c>
      <c r="D393" s="7" t="s">
        <v>902</v>
      </c>
      <c r="E393" s="7" t="s">
        <v>903</v>
      </c>
      <c r="F393" s="7" t="s">
        <v>904</v>
      </c>
      <c r="G393" s="11">
        <v>1</v>
      </c>
      <c r="H393" s="11">
        <v>97483000</v>
      </c>
      <c r="I393" s="11" t="str">
        <f>"Tháng"&amp;" "&amp;MONTH(Du_Lieu[[#This Row],[Date]])</f>
        <v>Tháng 11</v>
      </c>
      <c r="J393" s="12">
        <f t="shared" si="18"/>
        <v>4173.07363013699</v>
      </c>
      <c r="K393" s="12" t="str">
        <f t="shared" si="19"/>
        <v>CLIENTELING OR CT</v>
      </c>
      <c r="L393" s="13">
        <f t="shared" si="20"/>
        <v>1</v>
      </c>
      <c r="M393" s="15"/>
      <c r="N393" s="7">
        <f>COUNTIF(F:F,Du_Lieu[[#This Row],[Invoice]])</f>
        <v>1</v>
      </c>
    </row>
    <row r="394" spans="1:14">
      <c r="A394" s="10">
        <v>44515</v>
      </c>
      <c r="B394" s="7" t="s">
        <v>13</v>
      </c>
      <c r="C394" s="7" t="s">
        <v>59</v>
      </c>
      <c r="D394" s="7" t="s">
        <v>359</v>
      </c>
      <c r="E394" s="7" t="s">
        <v>905</v>
      </c>
      <c r="F394" s="7" t="s">
        <v>906</v>
      </c>
      <c r="G394" s="11">
        <v>1</v>
      </c>
      <c r="H394" s="11">
        <v>92067000</v>
      </c>
      <c r="I394" s="11" t="str">
        <f>"Tháng"&amp;" "&amp;MONTH(Du_Lieu[[#This Row],[Date]])</f>
        <v>Tháng 11</v>
      </c>
      <c r="J394" s="12">
        <f t="shared" si="18"/>
        <v>3941.22431506849</v>
      </c>
      <c r="K394" s="12" t="str">
        <f t="shared" si="19"/>
        <v>CLIENTELING OR CT</v>
      </c>
      <c r="L394" s="13">
        <f t="shared" si="20"/>
        <v>0.25</v>
      </c>
      <c r="M394" s="15"/>
      <c r="N394" s="7">
        <f>COUNTIF(F:F,Du_Lieu[[#This Row],[Invoice]])</f>
        <v>4</v>
      </c>
    </row>
    <row r="395" spans="1:14">
      <c r="A395" s="10">
        <v>44515</v>
      </c>
      <c r="B395" s="7" t="s">
        <v>13</v>
      </c>
      <c r="C395" s="7" t="s">
        <v>59</v>
      </c>
      <c r="D395" s="7" t="s">
        <v>907</v>
      </c>
      <c r="E395" s="7" t="s">
        <v>905</v>
      </c>
      <c r="F395" s="7" t="s">
        <v>906</v>
      </c>
      <c r="G395" s="11">
        <v>1</v>
      </c>
      <c r="H395" s="11">
        <v>63184000</v>
      </c>
      <c r="I395" s="11" t="str">
        <f>"Tháng"&amp;" "&amp;MONTH(Du_Lieu[[#This Row],[Date]])</f>
        <v>Tháng 11</v>
      </c>
      <c r="J395" s="12">
        <f t="shared" si="18"/>
        <v>2704.79452054795</v>
      </c>
      <c r="K395" s="12" t="str">
        <f t="shared" si="19"/>
        <v>OTHER</v>
      </c>
      <c r="L395" s="13">
        <f t="shared" si="20"/>
        <v>0.25</v>
      </c>
      <c r="M395" s="15"/>
      <c r="N395" s="7">
        <f>COUNTIF(F:F,Du_Lieu[[#This Row],[Invoice]])</f>
        <v>4</v>
      </c>
    </row>
    <row r="396" spans="1:14">
      <c r="A396" s="10">
        <v>44515</v>
      </c>
      <c r="B396" s="7" t="s">
        <v>13</v>
      </c>
      <c r="C396" s="7" t="s">
        <v>59</v>
      </c>
      <c r="D396" s="7" t="s">
        <v>475</v>
      </c>
      <c r="E396" s="7" t="s">
        <v>905</v>
      </c>
      <c r="F396" s="7" t="s">
        <v>906</v>
      </c>
      <c r="G396" s="11">
        <v>1</v>
      </c>
      <c r="H396" s="11">
        <v>9388000</v>
      </c>
      <c r="I396" s="11" t="str">
        <f>"Tháng"&amp;" "&amp;MONTH(Du_Lieu[[#This Row],[Date]])</f>
        <v>Tháng 11</v>
      </c>
      <c r="J396" s="12">
        <f t="shared" si="18"/>
        <v>401.883561643836</v>
      </c>
      <c r="K396" s="12" t="str">
        <f t="shared" si="19"/>
        <v>OTHER</v>
      </c>
      <c r="L396" s="13">
        <f t="shared" si="20"/>
        <v>0.25</v>
      </c>
      <c r="M396" s="15"/>
      <c r="N396" s="7">
        <f>COUNTIF(F:F,Du_Lieu[[#This Row],[Invoice]])</f>
        <v>4</v>
      </c>
    </row>
    <row r="397" spans="1:14">
      <c r="A397" s="10">
        <v>44515</v>
      </c>
      <c r="B397" s="7" t="s">
        <v>13</v>
      </c>
      <c r="C397" s="7" t="s">
        <v>59</v>
      </c>
      <c r="D397" s="7" t="s">
        <v>908</v>
      </c>
      <c r="E397" s="7" t="s">
        <v>905</v>
      </c>
      <c r="F397" s="7" t="s">
        <v>906</v>
      </c>
      <c r="G397" s="11">
        <v>1</v>
      </c>
      <c r="H397" s="11">
        <v>250928000</v>
      </c>
      <c r="I397" s="11" t="str">
        <f>"Tháng"&amp;" "&amp;MONTH(Du_Lieu[[#This Row],[Date]])</f>
        <v>Tháng 11</v>
      </c>
      <c r="J397" s="12">
        <f t="shared" si="18"/>
        <v>10741.7808219178</v>
      </c>
      <c r="K397" s="12" t="str">
        <f t="shared" si="19"/>
        <v>SILVER</v>
      </c>
      <c r="L397" s="13">
        <f t="shared" si="20"/>
        <v>0.25</v>
      </c>
      <c r="M397" s="15"/>
      <c r="N397" s="7">
        <f>COUNTIF(F:F,Du_Lieu[[#This Row],[Invoice]])</f>
        <v>4</v>
      </c>
    </row>
    <row r="398" spans="1:14">
      <c r="A398" s="10">
        <v>44516</v>
      </c>
      <c r="B398" s="7" t="s">
        <v>263</v>
      </c>
      <c r="C398" s="7" t="s">
        <v>59</v>
      </c>
      <c r="D398" s="7" t="s">
        <v>122</v>
      </c>
      <c r="E398" s="7" t="s">
        <v>909</v>
      </c>
      <c r="F398" s="7" t="s">
        <v>910</v>
      </c>
      <c r="G398" s="11">
        <v>1</v>
      </c>
      <c r="H398" s="11">
        <v>6951000</v>
      </c>
      <c r="I398" s="11" t="str">
        <f>"Tháng"&amp;" "&amp;MONTH(Du_Lieu[[#This Row],[Date]])</f>
        <v>Tháng 11</v>
      </c>
      <c r="J398" s="12">
        <f t="shared" si="18"/>
        <v>297.559931506849</v>
      </c>
      <c r="K398" s="12" t="str">
        <f t="shared" si="19"/>
        <v>OTHER</v>
      </c>
      <c r="L398" s="13">
        <f t="shared" si="20"/>
        <v>1</v>
      </c>
      <c r="M398" s="15"/>
      <c r="N398" s="7">
        <f>COUNTIF(F:F,Du_Lieu[[#This Row],[Invoice]])</f>
        <v>1</v>
      </c>
    </row>
    <row r="399" spans="1:14">
      <c r="A399" s="10">
        <v>44516</v>
      </c>
      <c r="B399" s="7" t="s">
        <v>13</v>
      </c>
      <c r="C399" s="7" t="s">
        <v>59</v>
      </c>
      <c r="D399" s="7" t="s">
        <v>911</v>
      </c>
      <c r="E399" s="7" t="s">
        <v>212</v>
      </c>
      <c r="F399" s="7" t="s">
        <v>912</v>
      </c>
      <c r="G399" s="11">
        <v>1</v>
      </c>
      <c r="H399" s="11">
        <v>106509000</v>
      </c>
      <c r="I399" s="11" t="str">
        <f>"Tháng"&amp;" "&amp;MONTH(Du_Lieu[[#This Row],[Date]])</f>
        <v>Tháng 11</v>
      </c>
      <c r="J399" s="12">
        <f t="shared" si="18"/>
        <v>4559.46061643836</v>
      </c>
      <c r="K399" s="12" t="str">
        <f t="shared" si="19"/>
        <v>CLIENTELING OR CT</v>
      </c>
      <c r="L399" s="13">
        <f t="shared" si="20"/>
        <v>0.2</v>
      </c>
      <c r="M399" s="15"/>
      <c r="N399" s="7">
        <f>COUNTIF(F:F,Du_Lieu[[#This Row],[Invoice]])</f>
        <v>1</v>
      </c>
    </row>
    <row r="400" spans="1:14">
      <c r="A400" s="10">
        <v>44517</v>
      </c>
      <c r="B400" s="7" t="s">
        <v>13</v>
      </c>
      <c r="C400" s="7" t="s">
        <v>59</v>
      </c>
      <c r="D400" s="7" t="s">
        <v>229</v>
      </c>
      <c r="E400" s="7" t="s">
        <v>828</v>
      </c>
      <c r="F400" s="7" t="s">
        <v>913</v>
      </c>
      <c r="G400" s="11">
        <v>1</v>
      </c>
      <c r="H400" s="11">
        <v>285227000</v>
      </c>
      <c r="I400" s="11" t="str">
        <f>"Tháng"&amp;" "&amp;MONTH(Du_Lieu[[#This Row],[Date]])</f>
        <v>Tháng 11</v>
      </c>
      <c r="J400" s="12">
        <f t="shared" si="18"/>
        <v>12210.0599315068</v>
      </c>
      <c r="K400" s="12" t="str">
        <f t="shared" si="19"/>
        <v>SILVER</v>
      </c>
      <c r="L400" s="13">
        <f t="shared" si="20"/>
        <v>0.333333333333333</v>
      </c>
      <c r="M400" s="15"/>
      <c r="N400" s="7">
        <f>COUNTIF(F:F,Du_Lieu[[#This Row],[Invoice]])</f>
        <v>1</v>
      </c>
    </row>
    <row r="401" spans="1:14">
      <c r="A401" s="10">
        <v>44519</v>
      </c>
      <c r="B401" s="7" t="s">
        <v>15</v>
      </c>
      <c r="C401" s="7" t="s">
        <v>59</v>
      </c>
      <c r="D401" s="7" t="s">
        <v>892</v>
      </c>
      <c r="E401" s="7" t="s">
        <v>914</v>
      </c>
      <c r="F401" s="7" t="s">
        <v>915</v>
      </c>
      <c r="G401" s="11">
        <v>1</v>
      </c>
      <c r="H401" s="11">
        <v>114633000</v>
      </c>
      <c r="I401" s="11" t="str">
        <f>"Tháng"&amp;" "&amp;MONTH(Du_Lieu[[#This Row],[Date]])</f>
        <v>Tháng 11</v>
      </c>
      <c r="J401" s="12">
        <f t="shared" si="18"/>
        <v>4907.2345890411</v>
      </c>
      <c r="K401" s="12" t="str">
        <f t="shared" si="19"/>
        <v>CLIENTELING OR CT</v>
      </c>
      <c r="L401" s="13">
        <f t="shared" si="20"/>
        <v>1</v>
      </c>
      <c r="M401" s="15"/>
      <c r="N401" s="7">
        <f>COUNTIF(F:F,Du_Lieu[[#This Row],[Invoice]])</f>
        <v>1</v>
      </c>
    </row>
    <row r="402" spans="1:14">
      <c r="A402" s="10">
        <v>44519</v>
      </c>
      <c r="B402" s="7" t="s">
        <v>44</v>
      </c>
      <c r="C402" s="7" t="s">
        <v>59</v>
      </c>
      <c r="D402" s="7" t="s">
        <v>445</v>
      </c>
      <c r="E402" s="7" t="s">
        <v>916</v>
      </c>
      <c r="F402" s="7" t="s">
        <v>917</v>
      </c>
      <c r="G402" s="11">
        <v>1</v>
      </c>
      <c r="H402" s="11">
        <v>65892000</v>
      </c>
      <c r="I402" s="11" t="str">
        <f>"Tháng"&amp;" "&amp;MONTH(Du_Lieu[[#This Row],[Date]])</f>
        <v>Tháng 11</v>
      </c>
      <c r="J402" s="12">
        <f t="shared" si="18"/>
        <v>2820.71917808219</v>
      </c>
      <c r="K402" s="12" t="str">
        <f t="shared" si="19"/>
        <v>OTHER</v>
      </c>
      <c r="L402" s="13">
        <f t="shared" si="20"/>
        <v>1</v>
      </c>
      <c r="M402" s="15"/>
      <c r="N402" s="7">
        <f>COUNTIF(F:F,Du_Lieu[[#This Row],[Invoice]])</f>
        <v>1</v>
      </c>
    </row>
    <row r="403" spans="1:14">
      <c r="A403" s="10">
        <v>44519</v>
      </c>
      <c r="B403" s="7" t="s">
        <v>44</v>
      </c>
      <c r="C403" s="7" t="s">
        <v>59</v>
      </c>
      <c r="D403" s="7" t="s">
        <v>918</v>
      </c>
      <c r="E403" s="7" t="s">
        <v>919</v>
      </c>
      <c r="F403" s="7" t="s">
        <v>920</v>
      </c>
      <c r="G403" s="11">
        <v>1</v>
      </c>
      <c r="H403" s="11">
        <v>68599000</v>
      </c>
      <c r="I403" s="11" t="str">
        <f>"Tháng"&amp;" "&amp;MONTH(Du_Lieu[[#This Row],[Date]])</f>
        <v>Tháng 11</v>
      </c>
      <c r="J403" s="12">
        <f t="shared" si="18"/>
        <v>2936.60102739726</v>
      </c>
      <c r="K403" s="12" t="str">
        <f t="shared" si="19"/>
        <v>OTHER</v>
      </c>
      <c r="L403" s="13">
        <f t="shared" si="20"/>
        <v>1</v>
      </c>
      <c r="M403" s="15"/>
      <c r="N403" s="7">
        <f>COUNTIF(F:F,Du_Lieu[[#This Row],[Invoice]])</f>
        <v>1</v>
      </c>
    </row>
    <row r="404" spans="1:14">
      <c r="A404" s="10">
        <v>44520</v>
      </c>
      <c r="B404" s="7" t="s">
        <v>15</v>
      </c>
      <c r="C404" s="7" t="s">
        <v>59</v>
      </c>
      <c r="D404" s="7" t="s">
        <v>468</v>
      </c>
      <c r="E404" s="7" t="s">
        <v>921</v>
      </c>
      <c r="F404" s="7" t="s">
        <v>922</v>
      </c>
      <c r="G404" s="11">
        <v>1</v>
      </c>
      <c r="H404" s="11">
        <v>26176000</v>
      </c>
      <c r="I404" s="11" t="str">
        <f>"Tháng"&amp;" "&amp;MONTH(Du_Lieu[[#This Row],[Date]])</f>
        <v>Tháng 11</v>
      </c>
      <c r="J404" s="12">
        <f t="shared" si="18"/>
        <v>1120.54794520548</v>
      </c>
      <c r="K404" s="12" t="str">
        <f t="shared" si="19"/>
        <v>OTHER</v>
      </c>
      <c r="L404" s="13">
        <f t="shared" si="20"/>
        <v>0.5</v>
      </c>
      <c r="M404" s="15"/>
      <c r="N404" s="7">
        <f>COUNTIF(F:F,Du_Lieu[[#This Row],[Invoice]])</f>
        <v>2</v>
      </c>
    </row>
    <row r="405" spans="1:14">
      <c r="A405" s="10">
        <v>44520</v>
      </c>
      <c r="B405" s="7" t="s">
        <v>15</v>
      </c>
      <c r="C405" s="7" t="s">
        <v>59</v>
      </c>
      <c r="D405" s="7" t="s">
        <v>923</v>
      </c>
      <c r="E405" s="7" t="s">
        <v>921</v>
      </c>
      <c r="F405" s="7" t="s">
        <v>922</v>
      </c>
      <c r="G405" s="11">
        <v>1</v>
      </c>
      <c r="H405" s="11">
        <v>65892000</v>
      </c>
      <c r="I405" s="11" t="str">
        <f>"Tháng"&amp;" "&amp;MONTH(Du_Lieu[[#This Row],[Date]])</f>
        <v>Tháng 11</v>
      </c>
      <c r="J405" s="12">
        <f t="shared" si="18"/>
        <v>2820.71917808219</v>
      </c>
      <c r="K405" s="12" t="str">
        <f t="shared" si="19"/>
        <v>OTHER</v>
      </c>
      <c r="L405" s="13">
        <f t="shared" si="20"/>
        <v>0.5</v>
      </c>
      <c r="M405" s="15"/>
      <c r="N405" s="7">
        <f>COUNTIF(F:F,Du_Lieu[[#This Row],[Invoice]])</f>
        <v>2</v>
      </c>
    </row>
    <row r="406" spans="1:14">
      <c r="A406" s="10">
        <v>44520</v>
      </c>
      <c r="B406" s="7" t="s">
        <v>44</v>
      </c>
      <c r="C406" s="7" t="s">
        <v>59</v>
      </c>
      <c r="D406" s="7" t="s">
        <v>924</v>
      </c>
      <c r="E406" s="7" t="s">
        <v>925</v>
      </c>
      <c r="F406" s="7" t="s">
        <v>926</v>
      </c>
      <c r="G406" s="11">
        <v>1</v>
      </c>
      <c r="H406" s="11">
        <v>46034000</v>
      </c>
      <c r="I406" s="11" t="str">
        <f>"Tháng"&amp;" "&amp;MONTH(Du_Lieu[[#This Row],[Date]])</f>
        <v>Tháng 11</v>
      </c>
      <c r="J406" s="12">
        <f t="shared" si="18"/>
        <v>1970.63356164384</v>
      </c>
      <c r="K406" s="12" t="str">
        <f t="shared" si="19"/>
        <v>OTHER</v>
      </c>
      <c r="L406" s="13">
        <f t="shared" si="20"/>
        <v>0.5</v>
      </c>
      <c r="M406" s="15"/>
      <c r="N406" s="7">
        <f>COUNTIF(F:F,Du_Lieu[[#This Row],[Invoice]])</f>
        <v>1</v>
      </c>
    </row>
    <row r="407" spans="1:14">
      <c r="A407" s="10">
        <v>44520</v>
      </c>
      <c r="B407" s="7" t="s">
        <v>44</v>
      </c>
      <c r="C407" s="7" t="s">
        <v>59</v>
      </c>
      <c r="D407" s="7" t="s">
        <v>403</v>
      </c>
      <c r="E407" s="7" t="s">
        <v>925</v>
      </c>
      <c r="F407" s="7" t="s">
        <v>927</v>
      </c>
      <c r="G407" s="11">
        <v>1</v>
      </c>
      <c r="H407" s="11">
        <v>26176000</v>
      </c>
      <c r="I407" s="11" t="str">
        <f>"Tháng"&amp;" "&amp;MONTH(Du_Lieu[[#This Row],[Date]])</f>
        <v>Tháng 11</v>
      </c>
      <c r="J407" s="12">
        <f t="shared" si="18"/>
        <v>1120.54794520548</v>
      </c>
      <c r="K407" s="12" t="str">
        <f t="shared" si="19"/>
        <v>OTHER</v>
      </c>
      <c r="L407" s="13">
        <f t="shared" si="20"/>
        <v>0.5</v>
      </c>
      <c r="M407" s="15"/>
      <c r="N407" s="7">
        <f>COUNTIF(F:F,Du_Lieu[[#This Row],[Invoice]])</f>
        <v>1</v>
      </c>
    </row>
    <row r="408" spans="1:14">
      <c r="A408" s="10">
        <v>44520</v>
      </c>
      <c r="B408" s="7" t="s">
        <v>15</v>
      </c>
      <c r="C408" s="7" t="s">
        <v>59</v>
      </c>
      <c r="D408" s="7" t="s">
        <v>738</v>
      </c>
      <c r="E408" s="7" t="s">
        <v>928</v>
      </c>
      <c r="F408" s="7" t="s">
        <v>929</v>
      </c>
      <c r="G408" s="11">
        <v>1</v>
      </c>
      <c r="H408" s="11">
        <v>6951000</v>
      </c>
      <c r="I408" s="11" t="str">
        <f>"Tháng"&amp;" "&amp;MONTH(Du_Lieu[[#This Row],[Date]])</f>
        <v>Tháng 11</v>
      </c>
      <c r="J408" s="12">
        <f t="shared" si="18"/>
        <v>297.559931506849</v>
      </c>
      <c r="K408" s="12" t="str">
        <f t="shared" si="19"/>
        <v>OTHER</v>
      </c>
      <c r="L408" s="13">
        <f t="shared" si="20"/>
        <v>1</v>
      </c>
      <c r="M408" s="15"/>
      <c r="N408" s="7">
        <f>COUNTIF(F:F,Du_Lieu[[#This Row],[Invoice]])</f>
        <v>1</v>
      </c>
    </row>
    <row r="409" spans="1:14">
      <c r="A409" s="10">
        <v>44521</v>
      </c>
      <c r="B409" s="7" t="s">
        <v>15</v>
      </c>
      <c r="C409" s="7" t="s">
        <v>59</v>
      </c>
      <c r="D409" s="7" t="s">
        <v>930</v>
      </c>
      <c r="E409" s="7" t="s">
        <v>931</v>
      </c>
      <c r="F409" s="7" t="s">
        <v>932</v>
      </c>
      <c r="G409" s="11">
        <v>1</v>
      </c>
      <c r="H409" s="11">
        <v>56865000</v>
      </c>
      <c r="I409" s="11" t="str">
        <f>"Tháng"&amp;" "&amp;MONTH(Du_Lieu[[#This Row],[Date]])</f>
        <v>Tháng 11</v>
      </c>
      <c r="J409" s="12">
        <f t="shared" si="18"/>
        <v>2434.28938356164</v>
      </c>
      <c r="K409" s="12" t="str">
        <f t="shared" si="19"/>
        <v>OTHER</v>
      </c>
      <c r="L409" s="13">
        <f t="shared" si="20"/>
        <v>0.5</v>
      </c>
      <c r="M409" s="15"/>
      <c r="N409" s="7">
        <f>COUNTIF(F:F,Du_Lieu[[#This Row],[Invoice]])</f>
        <v>2</v>
      </c>
    </row>
    <row r="410" spans="1:14">
      <c r="A410" s="10">
        <v>44521</v>
      </c>
      <c r="B410" s="7" t="s">
        <v>15</v>
      </c>
      <c r="C410" s="7" t="s">
        <v>59</v>
      </c>
      <c r="D410" s="7" t="s">
        <v>933</v>
      </c>
      <c r="E410" s="7" t="s">
        <v>931</v>
      </c>
      <c r="F410" s="7" t="s">
        <v>932</v>
      </c>
      <c r="G410" s="11">
        <v>1</v>
      </c>
      <c r="H410" s="11">
        <v>79431000</v>
      </c>
      <c r="I410" s="11" t="str">
        <f>"Tháng"&amp;" "&amp;MONTH(Du_Lieu[[#This Row],[Date]])</f>
        <v>Tháng 11</v>
      </c>
      <c r="J410" s="12">
        <f t="shared" si="18"/>
        <v>3400.29965753425</v>
      </c>
      <c r="K410" s="12" t="str">
        <f t="shared" si="19"/>
        <v>CLIENTELING OR CT</v>
      </c>
      <c r="L410" s="13">
        <f t="shared" si="20"/>
        <v>0.5</v>
      </c>
      <c r="M410" s="15"/>
      <c r="N410" s="7">
        <f>COUNTIF(F:F,Du_Lieu[[#This Row],[Invoice]])</f>
        <v>2</v>
      </c>
    </row>
    <row r="411" spans="1:14">
      <c r="A411" s="10">
        <v>44522</v>
      </c>
      <c r="B411" s="7" t="s">
        <v>44</v>
      </c>
      <c r="C411" s="7" t="s">
        <v>59</v>
      </c>
      <c r="D411" s="7" t="s">
        <v>165</v>
      </c>
      <c r="E411" s="7" t="s">
        <v>934</v>
      </c>
      <c r="F411" s="7" t="s">
        <v>935</v>
      </c>
      <c r="G411" s="11">
        <v>1</v>
      </c>
      <c r="H411" s="11">
        <v>9388000</v>
      </c>
      <c r="I411" s="11" t="str">
        <f>"Tháng"&amp;" "&amp;MONTH(Du_Lieu[[#This Row],[Date]])</f>
        <v>Tháng 11</v>
      </c>
      <c r="J411" s="12">
        <f t="shared" si="18"/>
        <v>401.883561643836</v>
      </c>
      <c r="K411" s="12" t="str">
        <f t="shared" si="19"/>
        <v>OTHER</v>
      </c>
      <c r="L411" s="13">
        <f t="shared" si="20"/>
        <v>0.5</v>
      </c>
      <c r="M411" s="15"/>
      <c r="N411" s="7">
        <f>COUNTIF(F:F,Du_Lieu[[#This Row],[Invoice]])</f>
        <v>2</v>
      </c>
    </row>
    <row r="412" spans="1:14">
      <c r="A412" s="10">
        <v>44522</v>
      </c>
      <c r="B412" s="7" t="s">
        <v>44</v>
      </c>
      <c r="C412" s="7" t="s">
        <v>59</v>
      </c>
      <c r="D412" s="7" t="s">
        <v>936</v>
      </c>
      <c r="E412" s="7" t="s">
        <v>934</v>
      </c>
      <c r="F412" s="7" t="s">
        <v>935</v>
      </c>
      <c r="G412" s="11">
        <v>1</v>
      </c>
      <c r="H412" s="11">
        <v>43326000</v>
      </c>
      <c r="I412" s="11" t="str">
        <f>"Tháng"&amp;" "&amp;MONTH(Du_Lieu[[#This Row],[Date]])</f>
        <v>Tháng 11</v>
      </c>
      <c r="J412" s="12">
        <f t="shared" si="18"/>
        <v>1854.70890410959</v>
      </c>
      <c r="K412" s="12" t="str">
        <f t="shared" si="19"/>
        <v>OTHER</v>
      </c>
      <c r="L412" s="13">
        <f t="shared" si="20"/>
        <v>0.5</v>
      </c>
      <c r="M412" s="15"/>
      <c r="N412" s="7">
        <f>COUNTIF(F:F,Du_Lieu[[#This Row],[Invoice]])</f>
        <v>2</v>
      </c>
    </row>
    <row r="413" spans="1:14">
      <c r="A413" s="10">
        <v>44522</v>
      </c>
      <c r="B413" s="7" t="s">
        <v>44</v>
      </c>
      <c r="C413" s="7" t="s">
        <v>59</v>
      </c>
      <c r="D413" s="7" t="s">
        <v>738</v>
      </c>
      <c r="E413" s="7" t="s">
        <v>937</v>
      </c>
      <c r="F413" s="7" t="s">
        <v>938</v>
      </c>
      <c r="G413" s="11">
        <v>1</v>
      </c>
      <c r="H413" s="11">
        <v>6951000</v>
      </c>
      <c r="I413" s="11" t="str">
        <f>"Tháng"&amp;" "&amp;MONTH(Du_Lieu[[#This Row],[Date]])</f>
        <v>Tháng 11</v>
      </c>
      <c r="J413" s="12">
        <f t="shared" si="18"/>
        <v>297.559931506849</v>
      </c>
      <c r="K413" s="12" t="str">
        <f t="shared" si="19"/>
        <v>OTHER</v>
      </c>
      <c r="L413" s="13">
        <f t="shared" si="20"/>
        <v>1</v>
      </c>
      <c r="M413" s="15"/>
      <c r="N413" s="7">
        <f>COUNTIF(F:F,Du_Lieu[[#This Row],[Invoice]])</f>
        <v>1</v>
      </c>
    </row>
    <row r="414" spans="1:14">
      <c r="A414" s="10">
        <v>44522</v>
      </c>
      <c r="B414" s="7" t="s">
        <v>44</v>
      </c>
      <c r="C414" s="7" t="s">
        <v>59</v>
      </c>
      <c r="D414" s="7" t="s">
        <v>939</v>
      </c>
      <c r="E414" s="7" t="s">
        <v>940</v>
      </c>
      <c r="F414" s="7" t="s">
        <v>941</v>
      </c>
      <c r="G414" s="11">
        <v>1</v>
      </c>
      <c r="H414" s="11">
        <v>63184000</v>
      </c>
      <c r="I414" s="11" t="str">
        <f>"Tháng"&amp;" "&amp;MONTH(Du_Lieu[[#This Row],[Date]])</f>
        <v>Tháng 11</v>
      </c>
      <c r="J414" s="12">
        <f t="shared" si="18"/>
        <v>2704.79452054795</v>
      </c>
      <c r="K414" s="12" t="str">
        <f t="shared" si="19"/>
        <v>OTHER</v>
      </c>
      <c r="L414" s="13">
        <f t="shared" si="20"/>
        <v>0.5</v>
      </c>
      <c r="M414" s="15"/>
      <c r="N414" s="7">
        <f>COUNTIF(F:F,Du_Lieu[[#This Row],[Invoice]])</f>
        <v>2</v>
      </c>
    </row>
    <row r="415" spans="1:14">
      <c r="A415" s="10">
        <v>44522</v>
      </c>
      <c r="B415" s="7" t="s">
        <v>44</v>
      </c>
      <c r="C415" s="7" t="s">
        <v>59</v>
      </c>
      <c r="D415" s="7" t="s">
        <v>105</v>
      </c>
      <c r="E415" s="7" t="s">
        <v>940</v>
      </c>
      <c r="F415" s="7" t="s">
        <v>941</v>
      </c>
      <c r="G415" s="11">
        <v>1</v>
      </c>
      <c r="H415" s="11">
        <v>9388000</v>
      </c>
      <c r="I415" s="11" t="str">
        <f>"Tháng"&amp;" "&amp;MONTH(Du_Lieu[[#This Row],[Date]])</f>
        <v>Tháng 11</v>
      </c>
      <c r="J415" s="12">
        <f t="shared" si="18"/>
        <v>401.883561643836</v>
      </c>
      <c r="K415" s="12" t="str">
        <f t="shared" si="19"/>
        <v>OTHER</v>
      </c>
      <c r="L415" s="13">
        <f t="shared" si="20"/>
        <v>0.5</v>
      </c>
      <c r="M415" s="15"/>
      <c r="N415" s="7">
        <f>COUNTIF(F:F,Du_Lieu[[#This Row],[Invoice]])</f>
        <v>2</v>
      </c>
    </row>
    <row r="416" spans="1:14">
      <c r="A416" s="10">
        <v>44522</v>
      </c>
      <c r="B416" s="7" t="s">
        <v>44</v>
      </c>
      <c r="C416" s="7" t="s">
        <v>59</v>
      </c>
      <c r="D416" s="7" t="s">
        <v>918</v>
      </c>
      <c r="E416" s="7" t="s">
        <v>942</v>
      </c>
      <c r="F416" s="7" t="s">
        <v>943</v>
      </c>
      <c r="G416" s="11">
        <v>1</v>
      </c>
      <c r="H416" s="11">
        <v>68599000</v>
      </c>
      <c r="I416" s="11" t="str">
        <f>"Tháng"&amp;" "&amp;MONTH(Du_Lieu[[#This Row],[Date]])</f>
        <v>Tháng 11</v>
      </c>
      <c r="J416" s="12">
        <f t="shared" si="18"/>
        <v>2936.60102739726</v>
      </c>
      <c r="K416" s="12" t="str">
        <f t="shared" si="19"/>
        <v>OTHER</v>
      </c>
      <c r="L416" s="13">
        <f t="shared" si="20"/>
        <v>1</v>
      </c>
      <c r="M416" s="15"/>
      <c r="N416" s="7">
        <f>COUNTIF(F:F,Du_Lieu[[#This Row],[Invoice]])</f>
        <v>1</v>
      </c>
    </row>
    <row r="417" spans="1:14">
      <c r="A417" s="10">
        <v>44522</v>
      </c>
      <c r="B417" s="7" t="s">
        <v>13</v>
      </c>
      <c r="C417" s="7" t="s">
        <v>59</v>
      </c>
      <c r="D417" s="7" t="s">
        <v>944</v>
      </c>
      <c r="E417" s="7" t="s">
        <v>945</v>
      </c>
      <c r="F417" s="7" t="s">
        <v>946</v>
      </c>
      <c r="G417" s="11">
        <v>1</v>
      </c>
      <c r="H417" s="11">
        <v>388126000</v>
      </c>
      <c r="I417" s="11" t="str">
        <f>"Tháng"&amp;" "&amp;MONTH(Du_Lieu[[#This Row],[Date]])</f>
        <v>Tháng 11</v>
      </c>
      <c r="J417" s="12">
        <f t="shared" si="18"/>
        <v>16614.9828767123</v>
      </c>
      <c r="K417" s="12" t="str">
        <f t="shared" si="19"/>
        <v>SILVER</v>
      </c>
      <c r="L417" s="13">
        <f t="shared" si="20"/>
        <v>1</v>
      </c>
      <c r="M417" s="15"/>
      <c r="N417" s="7">
        <f>COUNTIF(F:F,Du_Lieu[[#This Row],[Invoice]])</f>
        <v>1</v>
      </c>
    </row>
    <row r="418" spans="1:14">
      <c r="A418" s="10">
        <v>44523</v>
      </c>
      <c r="B418" s="7" t="s">
        <v>13</v>
      </c>
      <c r="C418" s="7" t="s">
        <v>59</v>
      </c>
      <c r="D418" s="7" t="s">
        <v>947</v>
      </c>
      <c r="E418" s="7" t="s">
        <v>948</v>
      </c>
      <c r="F418" s="7" t="s">
        <v>949</v>
      </c>
      <c r="G418" s="11">
        <v>1</v>
      </c>
      <c r="H418" s="11">
        <v>46034000</v>
      </c>
      <c r="I418" s="11" t="str">
        <f>"Tháng"&amp;" "&amp;MONTH(Du_Lieu[[#This Row],[Date]])</f>
        <v>Tháng 11</v>
      </c>
      <c r="J418" s="12">
        <f t="shared" si="18"/>
        <v>1970.63356164384</v>
      </c>
      <c r="K418" s="12" t="str">
        <f t="shared" si="19"/>
        <v>OTHER</v>
      </c>
      <c r="L418" s="13">
        <f t="shared" si="20"/>
        <v>0.5</v>
      </c>
      <c r="M418" s="15"/>
      <c r="N418" s="7">
        <f>COUNTIF(F:F,Du_Lieu[[#This Row],[Invoice]])</f>
        <v>2</v>
      </c>
    </row>
    <row r="419" spans="1:14">
      <c r="A419" s="10">
        <v>44523</v>
      </c>
      <c r="B419" s="7" t="s">
        <v>13</v>
      </c>
      <c r="C419" s="7" t="s">
        <v>59</v>
      </c>
      <c r="D419" s="7" t="s">
        <v>950</v>
      </c>
      <c r="E419" s="7" t="s">
        <v>948</v>
      </c>
      <c r="F419" s="7" t="s">
        <v>949</v>
      </c>
      <c r="G419" s="11">
        <v>1</v>
      </c>
      <c r="H419" s="11">
        <v>46034000</v>
      </c>
      <c r="I419" s="11" t="str">
        <f>"Tháng"&amp;" "&amp;MONTH(Du_Lieu[[#This Row],[Date]])</f>
        <v>Tháng 11</v>
      </c>
      <c r="J419" s="12">
        <f t="shared" si="18"/>
        <v>1970.63356164384</v>
      </c>
      <c r="K419" s="12" t="str">
        <f t="shared" si="19"/>
        <v>OTHER</v>
      </c>
      <c r="L419" s="13">
        <f t="shared" si="20"/>
        <v>0.5</v>
      </c>
      <c r="M419" s="15"/>
      <c r="N419" s="7">
        <f>COUNTIF(F:F,Du_Lieu[[#This Row],[Invoice]])</f>
        <v>2</v>
      </c>
    </row>
    <row r="420" spans="1:14">
      <c r="A420" s="10">
        <v>44523</v>
      </c>
      <c r="B420" s="7" t="s">
        <v>13</v>
      </c>
      <c r="C420" s="7" t="s">
        <v>59</v>
      </c>
      <c r="D420" s="7" t="s">
        <v>951</v>
      </c>
      <c r="E420" s="7" t="s">
        <v>952</v>
      </c>
      <c r="F420" s="7" t="s">
        <v>953</v>
      </c>
      <c r="G420" s="11">
        <v>1</v>
      </c>
      <c r="H420" s="11">
        <v>6680000</v>
      </c>
      <c r="I420" s="11" t="str">
        <f>"Tháng"&amp;" "&amp;MONTH(Du_Lieu[[#This Row],[Date]])</f>
        <v>Tháng 11</v>
      </c>
      <c r="J420" s="12">
        <f t="shared" si="18"/>
        <v>285.958904109589</v>
      </c>
      <c r="K420" s="12" t="str">
        <f t="shared" si="19"/>
        <v>OTHER</v>
      </c>
      <c r="L420" s="13">
        <f t="shared" si="20"/>
        <v>1</v>
      </c>
      <c r="M420" s="15"/>
      <c r="N420" s="7">
        <f>COUNTIF(F:F,Du_Lieu[[#This Row],[Invoice]])</f>
        <v>1</v>
      </c>
    </row>
    <row r="421" spans="1:14">
      <c r="A421" s="10">
        <v>44524</v>
      </c>
      <c r="B421" s="7" t="s">
        <v>13</v>
      </c>
      <c r="C421" s="7" t="s">
        <v>59</v>
      </c>
      <c r="D421" s="7" t="s">
        <v>954</v>
      </c>
      <c r="E421" s="7" t="s">
        <v>568</v>
      </c>
      <c r="F421" s="7" t="s">
        <v>955</v>
      </c>
      <c r="G421" s="11">
        <v>1</v>
      </c>
      <c r="H421" s="11">
        <v>83041000</v>
      </c>
      <c r="I421" s="11" t="str">
        <f>"Tháng"&amp;" "&amp;MONTH(Du_Lieu[[#This Row],[Date]])</f>
        <v>Tháng 11</v>
      </c>
      <c r="J421" s="12">
        <f t="shared" si="18"/>
        <v>3554.83732876712</v>
      </c>
      <c r="K421" s="12" t="str">
        <f t="shared" si="19"/>
        <v>CLIENTELING OR CT</v>
      </c>
      <c r="L421" s="13">
        <f t="shared" si="20"/>
        <v>0.25</v>
      </c>
      <c r="M421" s="15"/>
      <c r="N421" s="7">
        <f>COUNTIF(F:F,Du_Lieu[[#This Row],[Invoice]])</f>
        <v>2</v>
      </c>
    </row>
    <row r="422" spans="1:14">
      <c r="A422" s="10">
        <v>44524</v>
      </c>
      <c r="B422" s="7" t="s">
        <v>13</v>
      </c>
      <c r="C422" s="7" t="s">
        <v>59</v>
      </c>
      <c r="D422" s="7" t="s">
        <v>105</v>
      </c>
      <c r="E422" s="7" t="s">
        <v>568</v>
      </c>
      <c r="F422" s="7" t="s">
        <v>955</v>
      </c>
      <c r="G422" s="11">
        <v>1</v>
      </c>
      <c r="H422" s="11">
        <v>9388000</v>
      </c>
      <c r="I422" s="11" t="str">
        <f>"Tháng"&amp;" "&amp;MONTH(Du_Lieu[[#This Row],[Date]])</f>
        <v>Tháng 11</v>
      </c>
      <c r="J422" s="12">
        <f t="shared" si="18"/>
        <v>401.883561643836</v>
      </c>
      <c r="K422" s="12" t="str">
        <f t="shared" si="19"/>
        <v>OTHER</v>
      </c>
      <c r="L422" s="13">
        <f t="shared" si="20"/>
        <v>0.25</v>
      </c>
      <c r="M422" s="15"/>
      <c r="N422" s="7">
        <f>COUNTIF(F:F,Du_Lieu[[#This Row],[Invoice]])</f>
        <v>2</v>
      </c>
    </row>
    <row r="423" spans="1:14">
      <c r="A423" s="10">
        <v>44525</v>
      </c>
      <c r="B423" s="7" t="s">
        <v>15</v>
      </c>
      <c r="C423" s="7" t="s">
        <v>59</v>
      </c>
      <c r="D423" s="7" t="s">
        <v>956</v>
      </c>
      <c r="E423" s="7" t="s">
        <v>957</v>
      </c>
      <c r="F423" s="7" t="s">
        <v>958</v>
      </c>
      <c r="G423" s="11">
        <v>1</v>
      </c>
      <c r="H423" s="11">
        <v>48742000</v>
      </c>
      <c r="I423" s="11" t="str">
        <f>"Tháng"&amp;" "&amp;MONTH(Du_Lieu[[#This Row],[Date]])</f>
        <v>Tháng 11</v>
      </c>
      <c r="J423" s="12">
        <f t="shared" si="18"/>
        <v>2086.55821917808</v>
      </c>
      <c r="K423" s="12" t="str">
        <f t="shared" si="19"/>
        <v>OTHER</v>
      </c>
      <c r="L423" s="13">
        <f t="shared" si="20"/>
        <v>0.5</v>
      </c>
      <c r="M423" s="15"/>
      <c r="N423" s="7">
        <f>COUNTIF(F:F,Du_Lieu[[#This Row],[Invoice]])</f>
        <v>1</v>
      </c>
    </row>
    <row r="424" spans="1:14">
      <c r="A424" s="10">
        <v>44525</v>
      </c>
      <c r="B424" s="7" t="s">
        <v>15</v>
      </c>
      <c r="C424" s="7" t="s">
        <v>59</v>
      </c>
      <c r="D424" s="7" t="s">
        <v>959</v>
      </c>
      <c r="E424" s="7" t="s">
        <v>957</v>
      </c>
      <c r="F424" s="7" t="s">
        <v>960</v>
      </c>
      <c r="G424" s="11">
        <v>1</v>
      </c>
      <c r="H424" s="11">
        <v>80333000</v>
      </c>
      <c r="I424" s="11" t="str">
        <f>"Tháng"&amp;" "&amp;MONTH(Du_Lieu[[#This Row],[Date]])</f>
        <v>Tháng 11</v>
      </c>
      <c r="J424" s="12">
        <f t="shared" si="18"/>
        <v>3438.91267123288</v>
      </c>
      <c r="K424" s="12" t="str">
        <f t="shared" si="19"/>
        <v>CLIENTELING OR CT</v>
      </c>
      <c r="L424" s="13">
        <f t="shared" si="20"/>
        <v>0.5</v>
      </c>
      <c r="M424" s="15"/>
      <c r="N424" s="7">
        <f>COUNTIF(F:F,Du_Lieu[[#This Row],[Invoice]])</f>
        <v>1</v>
      </c>
    </row>
    <row r="425" spans="1:14">
      <c r="A425" s="10">
        <v>44526</v>
      </c>
      <c r="B425" s="7" t="s">
        <v>44</v>
      </c>
      <c r="C425" s="7" t="s">
        <v>59</v>
      </c>
      <c r="D425" s="7" t="s">
        <v>403</v>
      </c>
      <c r="E425" s="7" t="s">
        <v>961</v>
      </c>
      <c r="F425" s="7" t="s">
        <v>962</v>
      </c>
      <c r="G425" s="11">
        <v>1</v>
      </c>
      <c r="H425" s="11">
        <v>26176000</v>
      </c>
      <c r="I425" s="11" t="str">
        <f>"Tháng"&amp;" "&amp;MONTH(Du_Lieu[[#This Row],[Date]])</f>
        <v>Tháng 11</v>
      </c>
      <c r="J425" s="12">
        <f t="shared" si="18"/>
        <v>1120.54794520548</v>
      </c>
      <c r="K425" s="12" t="str">
        <f t="shared" si="19"/>
        <v>OTHER</v>
      </c>
      <c r="L425" s="13">
        <f t="shared" si="20"/>
        <v>1</v>
      </c>
      <c r="M425" s="15"/>
      <c r="N425" s="7">
        <f>COUNTIF(F:F,Du_Lieu[[#This Row],[Invoice]])</f>
        <v>1</v>
      </c>
    </row>
    <row r="426" spans="1:14">
      <c r="A426" s="10">
        <v>44526</v>
      </c>
      <c r="B426" s="7" t="s">
        <v>44</v>
      </c>
      <c r="C426" s="7" t="s">
        <v>59</v>
      </c>
      <c r="D426" s="7" t="s">
        <v>963</v>
      </c>
      <c r="E426" s="7" t="s">
        <v>964</v>
      </c>
      <c r="F426" s="7" t="s">
        <v>965</v>
      </c>
      <c r="G426" s="11">
        <v>1</v>
      </c>
      <c r="H426" s="11">
        <v>60476000</v>
      </c>
      <c r="I426" s="11" t="str">
        <f>"Tháng"&amp;" "&amp;MONTH(Du_Lieu[[#This Row],[Date]])</f>
        <v>Tháng 11</v>
      </c>
      <c r="J426" s="12">
        <f t="shared" si="18"/>
        <v>2588.8698630137</v>
      </c>
      <c r="K426" s="12" t="str">
        <f t="shared" si="19"/>
        <v>OTHER</v>
      </c>
      <c r="L426" s="13">
        <f t="shared" si="20"/>
        <v>1</v>
      </c>
      <c r="M426" s="15"/>
      <c r="N426" s="7">
        <f>COUNTIF(F:F,Du_Lieu[[#This Row],[Invoice]])</f>
        <v>1</v>
      </c>
    </row>
    <row r="427" spans="1:14">
      <c r="A427" s="10">
        <v>44526</v>
      </c>
      <c r="B427" s="7" t="s">
        <v>44</v>
      </c>
      <c r="C427" s="7" t="s">
        <v>59</v>
      </c>
      <c r="D427" s="7" t="s">
        <v>606</v>
      </c>
      <c r="E427" s="7" t="s">
        <v>966</v>
      </c>
      <c r="F427" s="7" t="s">
        <v>967</v>
      </c>
      <c r="G427" s="11">
        <v>1</v>
      </c>
      <c r="H427" s="11">
        <v>51450000</v>
      </c>
      <c r="I427" s="11" t="str">
        <f>"Tháng"&amp;" "&amp;MONTH(Du_Lieu[[#This Row],[Date]])</f>
        <v>Tháng 11</v>
      </c>
      <c r="J427" s="12">
        <f t="shared" si="18"/>
        <v>2202.48287671233</v>
      </c>
      <c r="K427" s="12" t="str">
        <f t="shared" si="19"/>
        <v>OTHER</v>
      </c>
      <c r="L427" s="13">
        <f t="shared" si="20"/>
        <v>1</v>
      </c>
      <c r="M427" s="15"/>
      <c r="N427" s="7">
        <f>COUNTIF(F:F,Du_Lieu[[#This Row],[Invoice]])</f>
        <v>1</v>
      </c>
    </row>
    <row r="428" spans="1:14">
      <c r="A428" s="10">
        <v>44526</v>
      </c>
      <c r="B428" s="7" t="s">
        <v>44</v>
      </c>
      <c r="C428" s="7" t="s">
        <v>59</v>
      </c>
      <c r="D428" s="7" t="s">
        <v>951</v>
      </c>
      <c r="E428" s="7" t="s">
        <v>968</v>
      </c>
      <c r="F428" s="7" t="s">
        <v>969</v>
      </c>
      <c r="G428" s="11">
        <v>1</v>
      </c>
      <c r="H428" s="11">
        <v>6680000</v>
      </c>
      <c r="I428" s="11" t="str">
        <f>"Tháng"&amp;" "&amp;MONTH(Du_Lieu[[#This Row],[Date]])</f>
        <v>Tháng 11</v>
      </c>
      <c r="J428" s="12">
        <f t="shared" si="18"/>
        <v>285.958904109589</v>
      </c>
      <c r="K428" s="12" t="str">
        <f t="shared" si="19"/>
        <v>OTHER</v>
      </c>
      <c r="L428" s="13">
        <f t="shared" si="20"/>
        <v>0.5</v>
      </c>
      <c r="M428" s="15"/>
      <c r="N428" s="7">
        <f>COUNTIF(F:F,Du_Lieu[[#This Row],[Invoice]])</f>
        <v>2</v>
      </c>
    </row>
    <row r="429" spans="1:14">
      <c r="A429" s="10">
        <v>44526</v>
      </c>
      <c r="B429" s="7" t="s">
        <v>44</v>
      </c>
      <c r="C429" s="7" t="s">
        <v>59</v>
      </c>
      <c r="D429" s="7" t="s">
        <v>416</v>
      </c>
      <c r="E429" s="7" t="s">
        <v>968</v>
      </c>
      <c r="F429" s="7" t="s">
        <v>969</v>
      </c>
      <c r="G429" s="11">
        <v>1</v>
      </c>
      <c r="H429" s="11">
        <v>8124000</v>
      </c>
      <c r="I429" s="11" t="str">
        <f>"Tháng"&amp;" "&amp;MONTH(Du_Lieu[[#This Row],[Date]])</f>
        <v>Tháng 11</v>
      </c>
      <c r="J429" s="12">
        <f t="shared" si="18"/>
        <v>347.77397260274</v>
      </c>
      <c r="K429" s="12" t="str">
        <f t="shared" si="19"/>
        <v>OTHER</v>
      </c>
      <c r="L429" s="13">
        <f t="shared" si="20"/>
        <v>0.5</v>
      </c>
      <c r="M429" s="15"/>
      <c r="N429" s="7">
        <f>COUNTIF(F:F,Du_Lieu[[#This Row],[Invoice]])</f>
        <v>2</v>
      </c>
    </row>
    <row r="430" spans="1:14">
      <c r="A430" s="10">
        <v>44527</v>
      </c>
      <c r="B430" s="7" t="s">
        <v>13</v>
      </c>
      <c r="C430" s="7" t="s">
        <v>59</v>
      </c>
      <c r="D430" s="7" t="s">
        <v>970</v>
      </c>
      <c r="E430" s="7" t="s">
        <v>971</v>
      </c>
      <c r="F430" s="7" t="s">
        <v>972</v>
      </c>
      <c r="G430" s="11">
        <v>1</v>
      </c>
      <c r="H430" s="11">
        <v>71307000</v>
      </c>
      <c r="I430" s="11" t="str">
        <f>"Tháng"&amp;" "&amp;MONTH(Du_Lieu[[#This Row],[Date]])</f>
        <v>Tháng 11</v>
      </c>
      <c r="J430" s="12">
        <f t="shared" si="18"/>
        <v>3052.52568493151</v>
      </c>
      <c r="K430" s="12" t="str">
        <f t="shared" si="19"/>
        <v>CLIENTELING OR CT</v>
      </c>
      <c r="L430" s="13">
        <f t="shared" si="20"/>
        <v>1</v>
      </c>
      <c r="M430" s="15"/>
      <c r="N430" s="7">
        <f>COUNTIF(F:F,Du_Lieu[[#This Row],[Invoice]])</f>
        <v>1</v>
      </c>
    </row>
    <row r="431" spans="1:14">
      <c r="A431" s="10">
        <v>44527</v>
      </c>
      <c r="B431" s="7" t="s">
        <v>44</v>
      </c>
      <c r="C431" s="7" t="s">
        <v>59</v>
      </c>
      <c r="D431" s="7" t="s">
        <v>973</v>
      </c>
      <c r="E431" s="7" t="s">
        <v>974</v>
      </c>
      <c r="F431" s="7" t="s">
        <v>975</v>
      </c>
      <c r="G431" s="11">
        <v>1</v>
      </c>
      <c r="H431" s="11">
        <v>48742000</v>
      </c>
      <c r="I431" s="11" t="str">
        <f>"Tháng"&amp;" "&amp;MONTH(Du_Lieu[[#This Row],[Date]])</f>
        <v>Tháng 11</v>
      </c>
      <c r="J431" s="12">
        <f t="shared" si="18"/>
        <v>2086.55821917808</v>
      </c>
      <c r="K431" s="12" t="str">
        <f t="shared" si="19"/>
        <v>OTHER</v>
      </c>
      <c r="L431" s="13">
        <f t="shared" si="20"/>
        <v>1</v>
      </c>
      <c r="M431" s="15"/>
      <c r="N431" s="7">
        <f>COUNTIF(F:F,Du_Lieu[[#This Row],[Invoice]])</f>
        <v>1</v>
      </c>
    </row>
    <row r="432" spans="1:14">
      <c r="A432" s="10">
        <v>44527</v>
      </c>
      <c r="B432" s="7" t="s">
        <v>44</v>
      </c>
      <c r="C432" s="7" t="s">
        <v>59</v>
      </c>
      <c r="D432" s="7" t="s">
        <v>976</v>
      </c>
      <c r="E432" s="7" t="s">
        <v>977</v>
      </c>
      <c r="F432" s="7" t="s">
        <v>978</v>
      </c>
      <c r="G432" s="11">
        <v>1</v>
      </c>
      <c r="H432" s="11">
        <v>27079000</v>
      </c>
      <c r="I432" s="11" t="str">
        <f>"Tháng"&amp;" "&amp;MONTH(Du_Lieu[[#This Row],[Date]])</f>
        <v>Tháng 11</v>
      </c>
      <c r="J432" s="12">
        <f t="shared" si="18"/>
        <v>1159.20376712329</v>
      </c>
      <c r="K432" s="12" t="str">
        <f t="shared" si="19"/>
        <v>OTHER</v>
      </c>
      <c r="L432" s="13">
        <f t="shared" si="20"/>
        <v>1</v>
      </c>
      <c r="M432" s="15"/>
      <c r="N432" s="7">
        <f>COUNTIF(F:F,Du_Lieu[[#This Row],[Invoice]])</f>
        <v>1</v>
      </c>
    </row>
    <row r="433" spans="1:14">
      <c r="A433" s="10">
        <v>44528</v>
      </c>
      <c r="B433" s="7" t="s">
        <v>13</v>
      </c>
      <c r="C433" s="7" t="s">
        <v>59</v>
      </c>
      <c r="D433" s="7" t="s">
        <v>979</v>
      </c>
      <c r="E433" s="7" t="s">
        <v>980</v>
      </c>
      <c r="F433" s="7" t="s">
        <v>981</v>
      </c>
      <c r="G433" s="11">
        <v>1</v>
      </c>
      <c r="H433" s="11">
        <v>213018000</v>
      </c>
      <c r="I433" s="11" t="str">
        <f>"Tháng"&amp;" "&amp;MONTH(Du_Lieu[[#This Row],[Date]])</f>
        <v>Tháng 11</v>
      </c>
      <c r="J433" s="12">
        <f t="shared" si="18"/>
        <v>9118.92123287671</v>
      </c>
      <c r="K433" s="12" t="str">
        <f t="shared" si="19"/>
        <v>CLIENTELING OR CT</v>
      </c>
      <c r="L433" s="13">
        <f t="shared" si="20"/>
        <v>1</v>
      </c>
      <c r="M433" s="15"/>
      <c r="N433" s="7">
        <f>COUNTIF(F:F,Du_Lieu[[#This Row],[Invoice]])</f>
        <v>1</v>
      </c>
    </row>
    <row r="434" spans="1:14">
      <c r="A434" s="10">
        <v>44528</v>
      </c>
      <c r="B434" s="7" t="s">
        <v>13</v>
      </c>
      <c r="C434" s="7" t="s">
        <v>59</v>
      </c>
      <c r="D434" s="7" t="s">
        <v>973</v>
      </c>
      <c r="E434" s="7" t="s">
        <v>982</v>
      </c>
      <c r="F434" s="7" t="s">
        <v>983</v>
      </c>
      <c r="G434" s="11">
        <v>1</v>
      </c>
      <c r="H434" s="11">
        <v>48742000</v>
      </c>
      <c r="I434" s="11" t="str">
        <f>"Tháng"&amp;" "&amp;MONTH(Du_Lieu[[#This Row],[Date]])</f>
        <v>Tháng 11</v>
      </c>
      <c r="J434" s="12">
        <f t="shared" si="18"/>
        <v>2086.55821917808</v>
      </c>
      <c r="K434" s="12" t="str">
        <f t="shared" si="19"/>
        <v>OTHER</v>
      </c>
      <c r="L434" s="13">
        <f t="shared" si="20"/>
        <v>1</v>
      </c>
      <c r="M434" s="15"/>
      <c r="N434" s="7">
        <f>COUNTIF(F:F,Du_Lieu[[#This Row],[Invoice]])</f>
        <v>1</v>
      </c>
    </row>
    <row r="435" spans="1:14">
      <c r="A435" s="10">
        <v>44529</v>
      </c>
      <c r="B435" s="7" t="s">
        <v>984</v>
      </c>
      <c r="C435" s="7" t="s">
        <v>59</v>
      </c>
      <c r="D435" s="7" t="s">
        <v>985</v>
      </c>
      <c r="E435" s="7" t="s">
        <v>986</v>
      </c>
      <c r="F435" s="7" t="s">
        <v>987</v>
      </c>
      <c r="G435" s="11">
        <v>1</v>
      </c>
      <c r="H435" s="11">
        <v>11554000</v>
      </c>
      <c r="I435" s="11" t="str">
        <f>"Tháng"&amp;" "&amp;MONTH(Du_Lieu[[#This Row],[Date]])</f>
        <v>Tháng 11</v>
      </c>
      <c r="J435" s="12">
        <f t="shared" si="18"/>
        <v>494.606164383562</v>
      </c>
      <c r="K435" s="12" t="str">
        <f t="shared" si="19"/>
        <v>OTHER</v>
      </c>
      <c r="L435" s="13">
        <f t="shared" si="20"/>
        <v>1</v>
      </c>
      <c r="M435" s="15"/>
      <c r="N435" s="7">
        <f>COUNTIF(F:F,Du_Lieu[[#This Row],[Invoice]])</f>
        <v>1</v>
      </c>
    </row>
    <row r="436" spans="1:14">
      <c r="A436" s="10">
        <v>44530</v>
      </c>
      <c r="B436" s="7" t="s">
        <v>15</v>
      </c>
      <c r="C436" s="7" t="s">
        <v>59</v>
      </c>
      <c r="D436" s="7" t="s">
        <v>988</v>
      </c>
      <c r="E436" s="7" t="s">
        <v>989</v>
      </c>
      <c r="F436" s="7" t="s">
        <v>990</v>
      </c>
      <c r="G436" s="11">
        <v>1</v>
      </c>
      <c r="H436" s="11">
        <v>77626000</v>
      </c>
      <c r="I436" s="11" t="str">
        <f>"Tháng"&amp;" "&amp;MONTH(Du_Lieu[[#This Row],[Date]])</f>
        <v>Tháng 11</v>
      </c>
      <c r="J436" s="12">
        <f t="shared" si="18"/>
        <v>3323.03082191781</v>
      </c>
      <c r="K436" s="12" t="str">
        <f t="shared" si="19"/>
        <v>CLIENTELING OR CT</v>
      </c>
      <c r="L436" s="13">
        <f t="shared" si="20"/>
        <v>0.5</v>
      </c>
      <c r="M436" s="15"/>
      <c r="N436" s="7">
        <f>COUNTIF(F:F,Du_Lieu[[#This Row],[Invoice]])</f>
        <v>1</v>
      </c>
    </row>
    <row r="437" spans="1:14">
      <c r="A437" s="10">
        <v>44530</v>
      </c>
      <c r="B437" s="7" t="s">
        <v>44</v>
      </c>
      <c r="C437" s="7" t="s">
        <v>59</v>
      </c>
      <c r="D437" s="7" t="s">
        <v>991</v>
      </c>
      <c r="E437" s="7" t="s">
        <v>992</v>
      </c>
      <c r="F437" s="7" t="s">
        <v>993</v>
      </c>
      <c r="G437" s="11">
        <v>1</v>
      </c>
      <c r="H437" s="11">
        <v>37910000</v>
      </c>
      <c r="I437" s="11" t="str">
        <f>"Tháng"&amp;" "&amp;MONTH(Du_Lieu[[#This Row],[Date]])</f>
        <v>Tháng 11</v>
      </c>
      <c r="J437" s="12">
        <f t="shared" si="18"/>
        <v>1622.8595890411</v>
      </c>
      <c r="K437" s="12" t="str">
        <f t="shared" si="19"/>
        <v>OTHER</v>
      </c>
      <c r="L437" s="13">
        <f t="shared" si="20"/>
        <v>1</v>
      </c>
      <c r="M437" s="15"/>
      <c r="N437" s="7">
        <f>COUNTIF(F:F,Du_Lieu[[#This Row],[Invoice]])</f>
        <v>1</v>
      </c>
    </row>
    <row r="438" spans="1:14">
      <c r="A438" s="10">
        <v>44530</v>
      </c>
      <c r="B438" s="7" t="s">
        <v>44</v>
      </c>
      <c r="C438" s="7" t="s">
        <v>59</v>
      </c>
      <c r="D438" s="7" t="s">
        <v>831</v>
      </c>
      <c r="E438" s="7" t="s">
        <v>994</v>
      </c>
      <c r="F438" s="7" t="s">
        <v>995</v>
      </c>
      <c r="G438" s="11">
        <v>1</v>
      </c>
      <c r="H438" s="11">
        <v>6951000</v>
      </c>
      <c r="I438" s="11" t="str">
        <f>"Tháng"&amp;" "&amp;MONTH(Du_Lieu[[#This Row],[Date]])</f>
        <v>Tháng 11</v>
      </c>
      <c r="J438" s="12">
        <f t="shared" si="18"/>
        <v>297.559931506849</v>
      </c>
      <c r="K438" s="12" t="str">
        <f t="shared" si="19"/>
        <v>OTHER</v>
      </c>
      <c r="L438" s="13">
        <f t="shared" si="20"/>
        <v>1</v>
      </c>
      <c r="M438" s="15"/>
      <c r="N438" s="7">
        <f>COUNTIF(F:F,Du_Lieu[[#This Row],[Invoice]])</f>
        <v>1</v>
      </c>
    </row>
    <row r="439" spans="1:14">
      <c r="A439" s="10">
        <v>44530</v>
      </c>
      <c r="B439" s="7" t="s">
        <v>44</v>
      </c>
      <c r="C439" s="7" t="s">
        <v>59</v>
      </c>
      <c r="D439" s="7" t="s">
        <v>918</v>
      </c>
      <c r="E439" s="7" t="s">
        <v>996</v>
      </c>
      <c r="F439" s="7" t="s">
        <v>997</v>
      </c>
      <c r="G439" s="11">
        <v>1</v>
      </c>
      <c r="H439" s="11">
        <v>68599000</v>
      </c>
      <c r="I439" s="11" t="str">
        <f>"Tháng"&amp;" "&amp;MONTH(Du_Lieu[[#This Row],[Date]])</f>
        <v>Tháng 11</v>
      </c>
      <c r="J439" s="12">
        <f t="shared" si="18"/>
        <v>2936.60102739726</v>
      </c>
      <c r="K439" s="12" t="str">
        <f t="shared" si="19"/>
        <v>OTHER</v>
      </c>
      <c r="L439" s="13">
        <f t="shared" si="20"/>
        <v>1</v>
      </c>
      <c r="M439" s="15"/>
      <c r="N439" s="7">
        <f>COUNTIF(F:F,Du_Lieu[[#This Row],[Invoice]])</f>
        <v>1</v>
      </c>
    </row>
    <row r="440" spans="1:14">
      <c r="A440" s="10">
        <v>44530</v>
      </c>
      <c r="B440" s="7" t="s">
        <v>15</v>
      </c>
      <c r="C440" s="7" t="s">
        <v>59</v>
      </c>
      <c r="D440" s="7" t="s">
        <v>484</v>
      </c>
      <c r="E440" s="7" t="s">
        <v>989</v>
      </c>
      <c r="F440" s="7" t="s">
        <v>998</v>
      </c>
      <c r="G440" s="11">
        <v>1</v>
      </c>
      <c r="H440" s="11">
        <v>10832000</v>
      </c>
      <c r="I440" s="11" t="str">
        <f>"Tháng"&amp;" "&amp;MONTH(Du_Lieu[[#This Row],[Date]])</f>
        <v>Tháng 11</v>
      </c>
      <c r="J440" s="12">
        <f t="shared" si="18"/>
        <v>463.698630136986</v>
      </c>
      <c r="K440" s="12" t="str">
        <f t="shared" si="19"/>
        <v>OTHER</v>
      </c>
      <c r="L440" s="13">
        <f t="shared" si="20"/>
        <v>0.5</v>
      </c>
      <c r="M440" s="15"/>
      <c r="N440" s="7">
        <f>COUNTIF(F:F,Du_Lieu[[#This Row],[Invoice]])</f>
        <v>1</v>
      </c>
    </row>
    <row r="441" spans="1:14">
      <c r="A441" s="10">
        <v>44531</v>
      </c>
      <c r="B441" s="7" t="s">
        <v>15</v>
      </c>
      <c r="C441" s="7" t="s">
        <v>59</v>
      </c>
      <c r="D441" s="7" t="s">
        <v>999</v>
      </c>
      <c r="E441" s="7" t="s">
        <v>1000</v>
      </c>
      <c r="F441" s="7" t="s">
        <v>1001</v>
      </c>
      <c r="G441" s="11">
        <v>1</v>
      </c>
      <c r="H441" s="11">
        <v>76723000</v>
      </c>
      <c r="I441" s="11" t="str">
        <f>"Tháng"&amp;" "&amp;MONTH(Du_Lieu[[#This Row],[Date]])</f>
        <v>Tháng 12</v>
      </c>
      <c r="J441" s="12">
        <f t="shared" si="18"/>
        <v>3284.375</v>
      </c>
      <c r="K441" s="12" t="str">
        <f t="shared" si="19"/>
        <v>CLIENTELING OR CT</v>
      </c>
      <c r="L441" s="13">
        <f t="shared" si="20"/>
        <v>0.5</v>
      </c>
      <c r="M441" s="15"/>
      <c r="N441" s="7">
        <f>COUNTIF(F:F,Du_Lieu[[#This Row],[Invoice]])</f>
        <v>2</v>
      </c>
    </row>
    <row r="442" spans="1:14">
      <c r="A442" s="10">
        <v>44531</v>
      </c>
      <c r="B442" s="7" t="s">
        <v>15</v>
      </c>
      <c r="C442" s="7" t="s">
        <v>59</v>
      </c>
      <c r="D442" s="7" t="s">
        <v>1002</v>
      </c>
      <c r="E442" s="7" t="s">
        <v>1000</v>
      </c>
      <c r="F442" s="7" t="s">
        <v>1001</v>
      </c>
      <c r="G442" s="11">
        <v>1</v>
      </c>
      <c r="H442" s="11">
        <v>55963000</v>
      </c>
      <c r="I442" s="11" t="str">
        <f>"Tháng"&amp;" "&amp;MONTH(Du_Lieu[[#This Row],[Date]])</f>
        <v>Tháng 12</v>
      </c>
      <c r="J442" s="12">
        <f t="shared" si="18"/>
        <v>2395.67636986301</v>
      </c>
      <c r="K442" s="12" t="str">
        <f t="shared" si="19"/>
        <v>OTHER</v>
      </c>
      <c r="L442" s="13">
        <f t="shared" si="20"/>
        <v>0.5</v>
      </c>
      <c r="M442" s="15"/>
      <c r="N442" s="7">
        <f>COUNTIF(F:F,Du_Lieu[[#This Row],[Invoice]])</f>
        <v>2</v>
      </c>
    </row>
    <row r="443" spans="1:14">
      <c r="A443" s="10">
        <v>44532</v>
      </c>
      <c r="B443" s="7" t="s">
        <v>13</v>
      </c>
      <c r="C443" s="7" t="s">
        <v>59</v>
      </c>
      <c r="D443" s="7" t="s">
        <v>1003</v>
      </c>
      <c r="E443" s="7" t="s">
        <v>1004</v>
      </c>
      <c r="F443" s="7" t="s">
        <v>1005</v>
      </c>
      <c r="G443" s="11">
        <v>1</v>
      </c>
      <c r="H443" s="11">
        <v>234681000</v>
      </c>
      <c r="I443" s="11" t="str">
        <f>"Tháng"&amp;" "&amp;MONTH(Du_Lieu[[#This Row],[Date]])</f>
        <v>Tháng 12</v>
      </c>
      <c r="J443" s="12">
        <f t="shared" si="18"/>
        <v>10046.2756849315</v>
      </c>
      <c r="K443" s="12" t="str">
        <f t="shared" si="19"/>
        <v>SILVER</v>
      </c>
      <c r="L443" s="13">
        <f t="shared" si="20"/>
        <v>1</v>
      </c>
      <c r="M443" s="15"/>
      <c r="N443" s="7">
        <f>COUNTIF(F:F,Du_Lieu[[#This Row],[Invoice]])</f>
        <v>1</v>
      </c>
    </row>
    <row r="444" spans="1:14">
      <c r="A444" s="10">
        <v>44532</v>
      </c>
      <c r="B444" s="7" t="s">
        <v>13</v>
      </c>
      <c r="C444" s="7" t="s">
        <v>59</v>
      </c>
      <c r="D444" s="7" t="s">
        <v>1006</v>
      </c>
      <c r="E444" s="7" t="s">
        <v>1007</v>
      </c>
      <c r="F444" s="7" t="s">
        <v>1008</v>
      </c>
      <c r="G444" s="11">
        <v>1</v>
      </c>
      <c r="H444" s="11">
        <v>27079000</v>
      </c>
      <c r="I444" s="11" t="str">
        <f>"Tháng"&amp;" "&amp;MONTH(Du_Lieu[[#This Row],[Date]])</f>
        <v>Tháng 12</v>
      </c>
      <c r="J444" s="12">
        <f t="shared" si="18"/>
        <v>1159.20376712329</v>
      </c>
      <c r="K444" s="12" t="str">
        <f t="shared" si="19"/>
        <v>OTHER</v>
      </c>
      <c r="L444" s="13">
        <f t="shared" si="20"/>
        <v>1</v>
      </c>
      <c r="M444" s="15"/>
      <c r="N444" s="7">
        <f>COUNTIF(F:F,Du_Lieu[[#This Row],[Invoice]])</f>
        <v>1</v>
      </c>
    </row>
    <row r="445" spans="1:14">
      <c r="A445" s="10">
        <v>44532</v>
      </c>
      <c r="B445" s="7" t="s">
        <v>13</v>
      </c>
      <c r="C445" s="7" t="s">
        <v>59</v>
      </c>
      <c r="D445" s="7" t="s">
        <v>1009</v>
      </c>
      <c r="E445" s="7" t="s">
        <v>1010</v>
      </c>
      <c r="F445" s="7" t="s">
        <v>1011</v>
      </c>
      <c r="G445" s="11">
        <v>1</v>
      </c>
      <c r="H445" s="11">
        <v>46034000</v>
      </c>
      <c r="I445" s="11" t="str">
        <f>"Tháng"&amp;" "&amp;MONTH(Du_Lieu[[#This Row],[Date]])</f>
        <v>Tháng 12</v>
      </c>
      <c r="J445" s="12">
        <f t="shared" si="18"/>
        <v>1970.63356164384</v>
      </c>
      <c r="K445" s="12" t="str">
        <f t="shared" si="19"/>
        <v>OTHER</v>
      </c>
      <c r="L445" s="13">
        <f t="shared" si="20"/>
        <v>1</v>
      </c>
      <c r="M445" s="15"/>
      <c r="N445" s="7">
        <f>COUNTIF(F:F,Du_Lieu[[#This Row],[Invoice]])</f>
        <v>1</v>
      </c>
    </row>
    <row r="446" spans="1:14">
      <c r="A446" s="10">
        <v>44532</v>
      </c>
      <c r="B446" s="7" t="s">
        <v>13</v>
      </c>
      <c r="C446" s="7" t="s">
        <v>59</v>
      </c>
      <c r="D446" s="7" t="s">
        <v>1012</v>
      </c>
      <c r="E446" s="7" t="s">
        <v>1013</v>
      </c>
      <c r="F446" s="7" t="s">
        <v>1014</v>
      </c>
      <c r="G446" s="11">
        <v>1</v>
      </c>
      <c r="H446" s="11">
        <v>602949000</v>
      </c>
      <c r="I446" s="11" t="str">
        <f>"Tháng"&amp;" "&amp;MONTH(Du_Lieu[[#This Row],[Date]])</f>
        <v>Tháng 12</v>
      </c>
      <c r="J446" s="12">
        <f t="shared" si="18"/>
        <v>25811.1729452055</v>
      </c>
      <c r="K446" s="12" t="str">
        <f t="shared" si="19"/>
        <v>GOLD</v>
      </c>
      <c r="L446" s="13">
        <f t="shared" si="20"/>
        <v>1</v>
      </c>
      <c r="M446" s="15"/>
      <c r="N446" s="7">
        <f>COUNTIF(F:F,Du_Lieu[[#This Row],[Invoice]])</f>
        <v>1</v>
      </c>
    </row>
    <row r="447" spans="1:14">
      <c r="A447" s="10">
        <v>44534</v>
      </c>
      <c r="B447" s="7" t="s">
        <v>15</v>
      </c>
      <c r="C447" s="7" t="s">
        <v>59</v>
      </c>
      <c r="D447" s="7" t="s">
        <v>214</v>
      </c>
      <c r="E447" s="7" t="s">
        <v>1015</v>
      </c>
      <c r="F447" s="7" t="s">
        <v>1016</v>
      </c>
      <c r="G447" s="11">
        <v>1</v>
      </c>
      <c r="H447" s="11">
        <v>43326000</v>
      </c>
      <c r="I447" s="11" t="str">
        <f>"Tháng"&amp;" "&amp;MONTH(Du_Lieu[[#This Row],[Date]])</f>
        <v>Tháng 12</v>
      </c>
      <c r="J447" s="12">
        <f t="shared" si="18"/>
        <v>1854.70890410959</v>
      </c>
      <c r="K447" s="12" t="str">
        <f t="shared" si="19"/>
        <v>OTHER</v>
      </c>
      <c r="L447" s="13">
        <f t="shared" si="20"/>
        <v>1</v>
      </c>
      <c r="M447" s="15"/>
      <c r="N447" s="7">
        <f>COUNTIF(F:F,Du_Lieu[[#This Row],[Invoice]])</f>
        <v>1</v>
      </c>
    </row>
    <row r="448" spans="1:14">
      <c r="A448" s="10">
        <v>44534</v>
      </c>
      <c r="B448" s="7" t="s">
        <v>15</v>
      </c>
      <c r="C448" s="7" t="s">
        <v>59</v>
      </c>
      <c r="D448" s="7" t="s">
        <v>643</v>
      </c>
      <c r="E448" s="7" t="s">
        <v>1017</v>
      </c>
      <c r="F448" s="7" t="s">
        <v>1018</v>
      </c>
      <c r="G448" s="11">
        <v>1</v>
      </c>
      <c r="H448" s="11">
        <v>56865000</v>
      </c>
      <c r="I448" s="11" t="str">
        <f>"Tháng"&amp;" "&amp;MONTH(Du_Lieu[[#This Row],[Date]])</f>
        <v>Tháng 12</v>
      </c>
      <c r="J448" s="12">
        <f t="shared" si="18"/>
        <v>2434.28938356164</v>
      </c>
      <c r="K448" s="12" t="str">
        <f t="shared" si="19"/>
        <v>OTHER</v>
      </c>
      <c r="L448" s="13">
        <f t="shared" si="20"/>
        <v>1</v>
      </c>
      <c r="M448" s="15"/>
      <c r="N448" s="7">
        <f>COUNTIF(F:F,Du_Lieu[[#This Row],[Invoice]])</f>
        <v>1</v>
      </c>
    </row>
    <row r="449" spans="1:14">
      <c r="A449" s="10">
        <v>44534</v>
      </c>
      <c r="B449" s="7" t="s">
        <v>44</v>
      </c>
      <c r="C449" s="7" t="s">
        <v>59</v>
      </c>
      <c r="D449" s="7" t="s">
        <v>1019</v>
      </c>
      <c r="E449" s="7" t="s">
        <v>1020</v>
      </c>
      <c r="F449" s="7" t="s">
        <v>1021</v>
      </c>
      <c r="G449" s="11">
        <v>1</v>
      </c>
      <c r="H449" s="11">
        <v>13630000</v>
      </c>
      <c r="I449" s="11" t="str">
        <f>"Tháng"&amp;" "&amp;MONTH(Du_Lieu[[#This Row],[Date]])</f>
        <v>Tháng 12</v>
      </c>
      <c r="J449" s="12">
        <f t="shared" si="18"/>
        <v>583.47602739726</v>
      </c>
      <c r="K449" s="12" t="str">
        <f t="shared" si="19"/>
        <v>OTHER</v>
      </c>
      <c r="L449" s="13">
        <f t="shared" si="20"/>
        <v>1</v>
      </c>
      <c r="M449" s="15"/>
      <c r="N449" s="7">
        <f>COUNTIF(F:F,Du_Lieu[[#This Row],[Invoice]])</f>
        <v>1</v>
      </c>
    </row>
    <row r="450" spans="1:14">
      <c r="A450" s="10">
        <v>44534</v>
      </c>
      <c r="B450" s="7" t="s">
        <v>13</v>
      </c>
      <c r="C450" s="7" t="s">
        <v>59</v>
      </c>
      <c r="D450" s="7" t="s">
        <v>199</v>
      </c>
      <c r="E450" s="7" t="s">
        <v>181</v>
      </c>
      <c r="F450" s="7" t="s">
        <v>1022</v>
      </c>
      <c r="G450" s="11">
        <v>1</v>
      </c>
      <c r="H450" s="11">
        <v>55060000</v>
      </c>
      <c r="I450" s="11" t="str">
        <f>"Tháng"&amp;" "&amp;MONTH(Du_Lieu[[#This Row],[Date]])</f>
        <v>Tháng 12</v>
      </c>
      <c r="J450" s="12">
        <f t="shared" si="18"/>
        <v>2357.02054794521</v>
      </c>
      <c r="K450" s="12" t="str">
        <f t="shared" si="19"/>
        <v>OTHER</v>
      </c>
      <c r="L450" s="13">
        <f t="shared" si="20"/>
        <v>0.333333333333333</v>
      </c>
      <c r="M450" s="15"/>
      <c r="N450" s="7">
        <f>COUNTIF(F:F,Du_Lieu[[#This Row],[Invoice]])</f>
        <v>1</v>
      </c>
    </row>
    <row r="451" spans="1:14">
      <c r="A451" s="10">
        <v>44534</v>
      </c>
      <c r="B451" s="7" t="s">
        <v>13</v>
      </c>
      <c r="C451" s="7" t="s">
        <v>59</v>
      </c>
      <c r="D451" s="7" t="s">
        <v>1023</v>
      </c>
      <c r="E451" s="7" t="s">
        <v>1024</v>
      </c>
      <c r="F451" s="7" t="s">
        <v>1025</v>
      </c>
      <c r="G451" s="11">
        <v>1</v>
      </c>
      <c r="H451" s="11">
        <v>102899000</v>
      </c>
      <c r="I451" s="11" t="str">
        <f>"Tháng"&amp;" "&amp;MONTH(Du_Lieu[[#This Row],[Date]])</f>
        <v>Tháng 12</v>
      </c>
      <c r="J451" s="12">
        <f t="shared" ref="J451:J496" si="21">H451/$M$2</f>
        <v>4404.92294520548</v>
      </c>
      <c r="K451" s="12" t="str">
        <f t="shared" ref="K451:K496" si="22">IF(J451&gt;50000,"PLATINUM",IF(AND(J451&gt;25000,J451&lt;50000),"GOLD",IF(AND(J451&gt;10000,J451&lt;25000),"SILVER",IF(AND(J451&gt;3000,J451&lt;10000),"CLIENTELING OR CT","OTHER"))))</f>
        <v>CLIENTELING OR CT</v>
      </c>
      <c r="L451" s="13">
        <f t="shared" ref="L451:L496" si="23">1/COUNTIF(E:E,E451)</f>
        <v>1</v>
      </c>
      <c r="M451" s="15"/>
      <c r="N451" s="7">
        <f>COUNTIF(F:F,Du_Lieu[[#This Row],[Invoice]])</f>
        <v>1</v>
      </c>
    </row>
    <row r="452" spans="1:14">
      <c r="A452" s="10">
        <v>44535</v>
      </c>
      <c r="B452" s="7" t="s">
        <v>44</v>
      </c>
      <c r="C452" s="7" t="s">
        <v>59</v>
      </c>
      <c r="D452" s="7" t="s">
        <v>1026</v>
      </c>
      <c r="E452" s="7" t="s">
        <v>1027</v>
      </c>
      <c r="F452" s="7" t="s">
        <v>1028</v>
      </c>
      <c r="G452" s="11">
        <v>1</v>
      </c>
      <c r="H452" s="11">
        <v>59573000</v>
      </c>
      <c r="I452" s="11" t="str">
        <f>"Tháng"&amp;" "&amp;MONTH(Du_Lieu[[#This Row],[Date]])</f>
        <v>Tháng 12</v>
      </c>
      <c r="J452" s="12">
        <f t="shared" si="21"/>
        <v>2550.21404109589</v>
      </c>
      <c r="K452" s="12" t="str">
        <f t="shared" si="22"/>
        <v>OTHER</v>
      </c>
      <c r="L452" s="13">
        <f t="shared" si="23"/>
        <v>1</v>
      </c>
      <c r="M452" s="15"/>
      <c r="N452" s="7">
        <f>COUNTIF(F:F,Du_Lieu[[#This Row],[Invoice]])</f>
        <v>1</v>
      </c>
    </row>
    <row r="453" spans="1:14">
      <c r="A453" s="10">
        <v>44535</v>
      </c>
      <c r="B453" s="7" t="s">
        <v>15</v>
      </c>
      <c r="C453" s="7" t="s">
        <v>59</v>
      </c>
      <c r="D453" s="7" t="s">
        <v>1029</v>
      </c>
      <c r="E453" s="7" t="s">
        <v>1030</v>
      </c>
      <c r="F453" s="7" t="s">
        <v>1031</v>
      </c>
      <c r="G453" s="11">
        <v>1</v>
      </c>
      <c r="H453" s="11">
        <v>6951000</v>
      </c>
      <c r="I453" s="11" t="str">
        <f>"Tháng"&amp;" "&amp;MONTH(Du_Lieu[[#This Row],[Date]])</f>
        <v>Tháng 12</v>
      </c>
      <c r="J453" s="12">
        <f t="shared" si="21"/>
        <v>297.559931506849</v>
      </c>
      <c r="K453" s="12" t="str">
        <f t="shared" si="22"/>
        <v>OTHER</v>
      </c>
      <c r="L453" s="13">
        <f t="shared" si="23"/>
        <v>0.333333333333333</v>
      </c>
      <c r="M453" s="15"/>
      <c r="N453" s="7">
        <f>COUNTIF(F:F,Du_Lieu[[#This Row],[Invoice]])</f>
        <v>1</v>
      </c>
    </row>
    <row r="454" spans="1:14">
      <c r="A454" s="10">
        <v>44535</v>
      </c>
      <c r="B454" s="7" t="s">
        <v>15</v>
      </c>
      <c r="C454" s="7" t="s">
        <v>59</v>
      </c>
      <c r="D454" s="7" t="s">
        <v>1032</v>
      </c>
      <c r="E454" s="7" t="s">
        <v>1030</v>
      </c>
      <c r="F454" s="7" t="s">
        <v>1033</v>
      </c>
      <c r="G454" s="11">
        <v>1</v>
      </c>
      <c r="H454" s="11">
        <v>55060000</v>
      </c>
      <c r="I454" s="11" t="str">
        <f>"Tháng"&amp;" "&amp;MONTH(Du_Lieu[[#This Row],[Date]])</f>
        <v>Tháng 12</v>
      </c>
      <c r="J454" s="12">
        <f t="shared" si="21"/>
        <v>2357.02054794521</v>
      </c>
      <c r="K454" s="12" t="str">
        <f t="shared" si="22"/>
        <v>OTHER</v>
      </c>
      <c r="L454" s="13">
        <f t="shared" si="23"/>
        <v>0.333333333333333</v>
      </c>
      <c r="M454" s="15"/>
      <c r="N454" s="7">
        <f>COUNTIF(F:F,Du_Lieu[[#This Row],[Invoice]])</f>
        <v>1</v>
      </c>
    </row>
    <row r="455" spans="1:14">
      <c r="A455" s="10">
        <v>44535</v>
      </c>
      <c r="B455" s="7" t="s">
        <v>15</v>
      </c>
      <c r="C455" s="7" t="s">
        <v>59</v>
      </c>
      <c r="D455" s="7" t="s">
        <v>1034</v>
      </c>
      <c r="E455" s="7" t="s">
        <v>1030</v>
      </c>
      <c r="F455" s="7" t="s">
        <v>1035</v>
      </c>
      <c r="G455" s="11">
        <v>1</v>
      </c>
      <c r="H455" s="11">
        <v>9388000</v>
      </c>
      <c r="I455" s="11" t="str">
        <f>"Tháng"&amp;" "&amp;MONTH(Du_Lieu[[#This Row],[Date]])</f>
        <v>Tháng 12</v>
      </c>
      <c r="J455" s="12">
        <f t="shared" si="21"/>
        <v>401.883561643836</v>
      </c>
      <c r="K455" s="12" t="str">
        <f t="shared" si="22"/>
        <v>OTHER</v>
      </c>
      <c r="L455" s="13">
        <f t="shared" si="23"/>
        <v>0.333333333333333</v>
      </c>
      <c r="M455" s="15"/>
      <c r="N455" s="7">
        <f>COUNTIF(F:F,Du_Lieu[[#This Row],[Invoice]])</f>
        <v>1</v>
      </c>
    </row>
    <row r="456" spans="1:14">
      <c r="A456" s="10">
        <v>44535</v>
      </c>
      <c r="B456" s="7" t="s">
        <v>13</v>
      </c>
      <c r="C456" s="7" t="s">
        <v>59</v>
      </c>
      <c r="D456" s="7" t="s">
        <v>1036</v>
      </c>
      <c r="E456" s="7" t="s">
        <v>667</v>
      </c>
      <c r="F456" s="7" t="s">
        <v>1037</v>
      </c>
      <c r="G456" s="11">
        <v>1</v>
      </c>
      <c r="H456" s="11">
        <v>162472000</v>
      </c>
      <c r="I456" s="11" t="str">
        <f>"Tháng"&amp;" "&amp;MONTH(Du_Lieu[[#This Row],[Date]])</f>
        <v>Tháng 12</v>
      </c>
      <c r="J456" s="12">
        <f t="shared" si="21"/>
        <v>6955.13698630137</v>
      </c>
      <c r="K456" s="12" t="str">
        <f t="shared" si="22"/>
        <v>CLIENTELING OR CT</v>
      </c>
      <c r="L456" s="13">
        <f t="shared" si="23"/>
        <v>0.5</v>
      </c>
      <c r="M456" s="15"/>
      <c r="N456" s="7">
        <f>COUNTIF(F:F,Du_Lieu[[#This Row],[Invoice]])</f>
        <v>1</v>
      </c>
    </row>
    <row r="457" spans="1:14">
      <c r="A457" s="10">
        <v>44536</v>
      </c>
      <c r="B457" s="7" t="s">
        <v>13</v>
      </c>
      <c r="C457" s="7" t="s">
        <v>59</v>
      </c>
      <c r="D457" s="7" t="s">
        <v>1038</v>
      </c>
      <c r="E457" s="7" t="s">
        <v>407</v>
      </c>
      <c r="F457" s="7" t="s">
        <v>1039</v>
      </c>
      <c r="G457" s="11">
        <v>1</v>
      </c>
      <c r="H457" s="11">
        <v>267175000</v>
      </c>
      <c r="I457" s="11" t="str">
        <f>"Tháng"&amp;" "&amp;MONTH(Du_Lieu[[#This Row],[Date]])</f>
        <v>Tháng 12</v>
      </c>
      <c r="J457" s="12">
        <f t="shared" si="21"/>
        <v>11437.2859589041</v>
      </c>
      <c r="K457" s="12" t="str">
        <f t="shared" si="22"/>
        <v>SILVER</v>
      </c>
      <c r="L457" s="13">
        <f t="shared" si="23"/>
        <v>0.5</v>
      </c>
      <c r="M457" s="15"/>
      <c r="N457" s="7">
        <f>COUNTIF(F:F,Du_Lieu[[#This Row],[Invoice]])</f>
        <v>1</v>
      </c>
    </row>
    <row r="458" spans="1:14">
      <c r="A458" s="10">
        <v>44536</v>
      </c>
      <c r="B458" s="7" t="s">
        <v>13</v>
      </c>
      <c r="C458" s="7" t="s">
        <v>59</v>
      </c>
      <c r="D458" s="7" t="s">
        <v>1040</v>
      </c>
      <c r="E458" s="7" t="s">
        <v>1041</v>
      </c>
      <c r="F458" s="7" t="s">
        <v>1042</v>
      </c>
      <c r="G458" s="11">
        <v>1</v>
      </c>
      <c r="H458" s="11">
        <v>71307000</v>
      </c>
      <c r="I458" s="11" t="str">
        <f>"Tháng"&amp;" "&amp;MONTH(Du_Lieu[[#This Row],[Date]])</f>
        <v>Tháng 12</v>
      </c>
      <c r="J458" s="12">
        <f t="shared" si="21"/>
        <v>3052.52568493151</v>
      </c>
      <c r="K458" s="12" t="str">
        <f t="shared" si="22"/>
        <v>CLIENTELING OR CT</v>
      </c>
      <c r="L458" s="13">
        <f t="shared" si="23"/>
        <v>0.5</v>
      </c>
      <c r="M458" s="15"/>
      <c r="N458" s="7">
        <f>COUNTIF(F:F,Du_Lieu[[#This Row],[Invoice]])</f>
        <v>2</v>
      </c>
    </row>
    <row r="459" spans="1:14">
      <c r="A459" s="10">
        <v>44536</v>
      </c>
      <c r="B459" s="7" t="s">
        <v>13</v>
      </c>
      <c r="C459" s="7" t="s">
        <v>59</v>
      </c>
      <c r="D459" s="7" t="s">
        <v>1043</v>
      </c>
      <c r="E459" s="7" t="s">
        <v>1041</v>
      </c>
      <c r="F459" s="7" t="s">
        <v>1042</v>
      </c>
      <c r="G459" s="11">
        <v>1</v>
      </c>
      <c r="H459" s="11">
        <v>2130176000</v>
      </c>
      <c r="I459" s="11" t="str">
        <f>"Tháng"&amp;" "&amp;MONTH(Du_Lieu[[#This Row],[Date]])</f>
        <v>Tháng 12</v>
      </c>
      <c r="J459" s="12">
        <f t="shared" si="21"/>
        <v>91189.0410958904</v>
      </c>
      <c r="K459" s="12" t="str">
        <f t="shared" si="22"/>
        <v>PLATINUM</v>
      </c>
      <c r="L459" s="13">
        <f t="shared" si="23"/>
        <v>0.5</v>
      </c>
      <c r="M459" s="15"/>
      <c r="N459" s="7">
        <f>COUNTIF(F:F,Du_Lieu[[#This Row],[Invoice]])</f>
        <v>2</v>
      </c>
    </row>
    <row r="460" spans="1:14">
      <c r="A460" s="10">
        <v>44537</v>
      </c>
      <c r="B460" s="7" t="s">
        <v>15</v>
      </c>
      <c r="C460" s="7" t="s">
        <v>59</v>
      </c>
      <c r="D460" s="7" t="s">
        <v>158</v>
      </c>
      <c r="E460" s="7" t="s">
        <v>1044</v>
      </c>
      <c r="F460" s="7" t="s">
        <v>1045</v>
      </c>
      <c r="G460" s="11">
        <v>1</v>
      </c>
      <c r="H460" s="11">
        <v>103801000</v>
      </c>
      <c r="I460" s="11" t="str">
        <f>"Tháng"&amp;" "&amp;MONTH(Du_Lieu[[#This Row],[Date]])</f>
        <v>Tháng 12</v>
      </c>
      <c r="J460" s="12">
        <f t="shared" si="21"/>
        <v>4443.53595890411</v>
      </c>
      <c r="K460" s="12" t="str">
        <f t="shared" si="22"/>
        <v>CLIENTELING OR CT</v>
      </c>
      <c r="L460" s="13">
        <f t="shared" si="23"/>
        <v>1</v>
      </c>
      <c r="M460" s="15"/>
      <c r="N460" s="7">
        <f>COUNTIF(F:F,Du_Lieu[[#This Row],[Invoice]])</f>
        <v>1</v>
      </c>
    </row>
    <row r="461" spans="1:14">
      <c r="A461" s="10">
        <v>44537</v>
      </c>
      <c r="B461" s="7" t="s">
        <v>44</v>
      </c>
      <c r="C461" s="7" t="s">
        <v>59</v>
      </c>
      <c r="D461" s="7" t="s">
        <v>1046</v>
      </c>
      <c r="E461" s="7" t="s">
        <v>1047</v>
      </c>
      <c r="F461" s="7" t="s">
        <v>1048</v>
      </c>
      <c r="G461" s="11">
        <v>1</v>
      </c>
      <c r="H461" s="11">
        <v>6951000</v>
      </c>
      <c r="I461" s="11" t="str">
        <f>"Tháng"&amp;" "&amp;MONTH(Du_Lieu[[#This Row],[Date]])</f>
        <v>Tháng 12</v>
      </c>
      <c r="J461" s="12">
        <f t="shared" si="21"/>
        <v>297.559931506849</v>
      </c>
      <c r="K461" s="12" t="str">
        <f t="shared" si="22"/>
        <v>OTHER</v>
      </c>
      <c r="L461" s="13">
        <f t="shared" si="23"/>
        <v>1</v>
      </c>
      <c r="M461" s="15"/>
      <c r="N461" s="7">
        <f>COUNTIF(F:F,Du_Lieu[[#This Row],[Invoice]])</f>
        <v>1</v>
      </c>
    </row>
    <row r="462" spans="1:14">
      <c r="A462" s="10">
        <v>44538</v>
      </c>
      <c r="B462" s="7" t="s">
        <v>44</v>
      </c>
      <c r="C462" s="7" t="s">
        <v>59</v>
      </c>
      <c r="D462" s="7" t="s">
        <v>1049</v>
      </c>
      <c r="E462" s="7" t="s">
        <v>1050</v>
      </c>
      <c r="F462" s="7" t="s">
        <v>1051</v>
      </c>
      <c r="G462" s="11">
        <v>1</v>
      </c>
      <c r="H462" s="11">
        <v>55060000</v>
      </c>
      <c r="I462" s="11" t="str">
        <f>"Tháng"&amp;" "&amp;MONTH(Du_Lieu[[#This Row],[Date]])</f>
        <v>Tháng 12</v>
      </c>
      <c r="J462" s="12">
        <f t="shared" si="21"/>
        <v>2357.02054794521</v>
      </c>
      <c r="K462" s="12" t="str">
        <f t="shared" si="22"/>
        <v>OTHER</v>
      </c>
      <c r="L462" s="13">
        <f t="shared" si="23"/>
        <v>1</v>
      </c>
      <c r="M462" s="15"/>
      <c r="N462" s="7">
        <f>COUNTIF(F:F,Du_Lieu[[#This Row],[Invoice]])</f>
        <v>1</v>
      </c>
    </row>
    <row r="463" spans="1:14">
      <c r="A463" s="10">
        <v>44538</v>
      </c>
      <c r="B463" s="7" t="s">
        <v>15</v>
      </c>
      <c r="C463" s="7" t="s">
        <v>59</v>
      </c>
      <c r="D463" s="7" t="s">
        <v>918</v>
      </c>
      <c r="E463" s="7" t="s">
        <v>1052</v>
      </c>
      <c r="F463" s="7" t="s">
        <v>1053</v>
      </c>
      <c r="G463" s="11">
        <v>1</v>
      </c>
      <c r="H463" s="11">
        <v>68599000</v>
      </c>
      <c r="I463" s="11" t="str">
        <f>"Tháng"&amp;" "&amp;MONTH(Du_Lieu[[#This Row],[Date]])</f>
        <v>Tháng 12</v>
      </c>
      <c r="J463" s="12">
        <f t="shared" si="21"/>
        <v>2936.60102739726</v>
      </c>
      <c r="K463" s="12" t="str">
        <f t="shared" si="22"/>
        <v>OTHER</v>
      </c>
      <c r="L463" s="13">
        <f t="shared" si="23"/>
        <v>0.5</v>
      </c>
      <c r="M463" s="15"/>
      <c r="N463" s="7">
        <f>COUNTIF(F:F,Du_Lieu[[#This Row],[Invoice]])</f>
        <v>1</v>
      </c>
    </row>
    <row r="464" spans="1:14">
      <c r="A464" s="10">
        <v>44539</v>
      </c>
      <c r="B464" s="7" t="s">
        <v>15</v>
      </c>
      <c r="C464" s="7" t="s">
        <v>59</v>
      </c>
      <c r="D464" s="7" t="s">
        <v>659</v>
      </c>
      <c r="E464" s="7" t="s">
        <v>1054</v>
      </c>
      <c r="F464" s="7" t="s">
        <v>1055</v>
      </c>
      <c r="G464" s="11">
        <v>1</v>
      </c>
      <c r="H464" s="11">
        <v>92067000</v>
      </c>
      <c r="I464" s="11" t="str">
        <f>"Tháng"&amp;" "&amp;MONTH(Du_Lieu[[#This Row],[Date]])</f>
        <v>Tháng 12</v>
      </c>
      <c r="J464" s="12">
        <f t="shared" si="21"/>
        <v>3941.22431506849</v>
      </c>
      <c r="K464" s="12" t="str">
        <f t="shared" si="22"/>
        <v>CLIENTELING OR CT</v>
      </c>
      <c r="L464" s="13">
        <f t="shared" si="23"/>
        <v>1</v>
      </c>
      <c r="M464" s="15"/>
      <c r="N464" s="7">
        <f>COUNTIF(F:F,Du_Lieu[[#This Row],[Invoice]])</f>
        <v>1</v>
      </c>
    </row>
    <row r="465" spans="1:14">
      <c r="A465" s="10">
        <v>44539</v>
      </c>
      <c r="B465" s="7" t="s">
        <v>44</v>
      </c>
      <c r="C465" s="7" t="s">
        <v>59</v>
      </c>
      <c r="D465" s="7" t="s">
        <v>1056</v>
      </c>
      <c r="E465" s="7" t="s">
        <v>135</v>
      </c>
      <c r="F465" s="7" t="s">
        <v>1057</v>
      </c>
      <c r="G465" s="11">
        <v>1</v>
      </c>
      <c r="H465" s="11">
        <v>8124000</v>
      </c>
      <c r="I465" s="11" t="str">
        <f>"Tháng"&amp;" "&amp;MONTH(Du_Lieu[[#This Row],[Date]])</f>
        <v>Tháng 12</v>
      </c>
      <c r="J465" s="12">
        <f t="shared" si="21"/>
        <v>347.77397260274</v>
      </c>
      <c r="K465" s="12" t="str">
        <f t="shared" si="22"/>
        <v>OTHER</v>
      </c>
      <c r="L465" s="13">
        <f t="shared" si="23"/>
        <v>0.5</v>
      </c>
      <c r="M465" s="15"/>
      <c r="N465" s="7">
        <f>COUNTIF(F:F,Du_Lieu[[#This Row],[Invoice]])</f>
        <v>1</v>
      </c>
    </row>
    <row r="466" spans="1:14">
      <c r="A466" s="10">
        <v>44539</v>
      </c>
      <c r="B466" s="7" t="s">
        <v>44</v>
      </c>
      <c r="C466" s="7" t="s">
        <v>59</v>
      </c>
      <c r="D466" s="7" t="s">
        <v>1058</v>
      </c>
      <c r="E466" s="7" t="s">
        <v>1059</v>
      </c>
      <c r="F466" s="7" t="s">
        <v>1060</v>
      </c>
      <c r="G466" s="11">
        <v>1</v>
      </c>
      <c r="H466" s="11">
        <v>28884000</v>
      </c>
      <c r="I466" s="11" t="str">
        <f>"Tháng"&amp;" "&amp;MONTH(Du_Lieu[[#This Row],[Date]])</f>
        <v>Tháng 12</v>
      </c>
      <c r="J466" s="12">
        <f t="shared" si="21"/>
        <v>1236.47260273973</v>
      </c>
      <c r="K466" s="12" t="str">
        <f t="shared" si="22"/>
        <v>OTHER</v>
      </c>
      <c r="L466" s="13">
        <f t="shared" si="23"/>
        <v>1</v>
      </c>
      <c r="M466" s="15"/>
      <c r="N466" s="7">
        <f>COUNTIF(F:F,Du_Lieu[[#This Row],[Invoice]])</f>
        <v>1</v>
      </c>
    </row>
    <row r="467" spans="1:14">
      <c r="A467" s="10">
        <v>44539</v>
      </c>
      <c r="B467" s="7" t="s">
        <v>15</v>
      </c>
      <c r="C467" s="7" t="s">
        <v>59</v>
      </c>
      <c r="D467" s="7" t="s">
        <v>1061</v>
      </c>
      <c r="E467" s="7" t="s">
        <v>1062</v>
      </c>
      <c r="F467" s="7" t="s">
        <v>1063</v>
      </c>
      <c r="G467" s="11">
        <v>1</v>
      </c>
      <c r="H467" s="11">
        <v>125464000</v>
      </c>
      <c r="I467" s="11" t="str">
        <f>"Tháng"&amp;" "&amp;MONTH(Du_Lieu[[#This Row],[Date]])</f>
        <v>Tháng 12</v>
      </c>
      <c r="J467" s="12">
        <f t="shared" si="21"/>
        <v>5370.8904109589</v>
      </c>
      <c r="K467" s="12" t="str">
        <f t="shared" si="22"/>
        <v>CLIENTELING OR CT</v>
      </c>
      <c r="L467" s="13">
        <f t="shared" si="23"/>
        <v>1</v>
      </c>
      <c r="M467" s="15"/>
      <c r="N467" s="7">
        <f>COUNTIF(F:F,Du_Lieu[[#This Row],[Invoice]])</f>
        <v>1</v>
      </c>
    </row>
    <row r="468" spans="1:14">
      <c r="A468" s="10">
        <v>44539</v>
      </c>
      <c r="B468" s="7" t="s">
        <v>15</v>
      </c>
      <c r="C468" s="7" t="s">
        <v>59</v>
      </c>
      <c r="D468" s="7" t="s">
        <v>1064</v>
      </c>
      <c r="E468" s="7" t="s">
        <v>1052</v>
      </c>
      <c r="F468" s="7" t="s">
        <v>1065</v>
      </c>
      <c r="G468" s="11">
        <v>1</v>
      </c>
      <c r="H468" s="11">
        <v>56865000</v>
      </c>
      <c r="I468" s="11" t="str">
        <f>"Tháng"&amp;" "&amp;MONTH(Du_Lieu[[#This Row],[Date]])</f>
        <v>Tháng 12</v>
      </c>
      <c r="J468" s="12">
        <f t="shared" si="21"/>
        <v>2434.28938356164</v>
      </c>
      <c r="K468" s="12" t="str">
        <f t="shared" si="22"/>
        <v>OTHER</v>
      </c>
      <c r="L468" s="13">
        <f t="shared" si="23"/>
        <v>0.5</v>
      </c>
      <c r="M468" s="15"/>
      <c r="N468" s="7">
        <f>COUNTIF(F:F,Du_Lieu[[#This Row],[Invoice]])</f>
        <v>1</v>
      </c>
    </row>
    <row r="469" spans="1:14">
      <c r="A469" s="10">
        <v>44539</v>
      </c>
      <c r="B469" s="7" t="s">
        <v>44</v>
      </c>
      <c r="C469" s="7" t="s">
        <v>59</v>
      </c>
      <c r="D469" s="7" t="s">
        <v>1066</v>
      </c>
      <c r="E469" s="7" t="s">
        <v>1067</v>
      </c>
      <c r="F469" s="7" t="s">
        <v>1068</v>
      </c>
      <c r="G469" s="11">
        <v>1</v>
      </c>
      <c r="H469" s="11">
        <v>71307000</v>
      </c>
      <c r="I469" s="11" t="str">
        <f>"Tháng"&amp;" "&amp;MONTH(Du_Lieu[[#This Row],[Date]])</f>
        <v>Tháng 12</v>
      </c>
      <c r="J469" s="12">
        <f t="shared" si="21"/>
        <v>3052.52568493151</v>
      </c>
      <c r="K469" s="12" t="str">
        <f t="shared" si="22"/>
        <v>CLIENTELING OR CT</v>
      </c>
      <c r="L469" s="13">
        <f t="shared" si="23"/>
        <v>1</v>
      </c>
      <c r="M469" s="15"/>
      <c r="N469" s="7">
        <f>COUNTIF(F:F,Du_Lieu[[#This Row],[Invoice]])</f>
        <v>1</v>
      </c>
    </row>
    <row r="470" spans="1:14">
      <c r="A470" s="10">
        <v>44540</v>
      </c>
      <c r="B470" s="7" t="s">
        <v>13</v>
      </c>
      <c r="C470" s="7" t="s">
        <v>59</v>
      </c>
      <c r="D470" s="7" t="s">
        <v>1069</v>
      </c>
      <c r="E470" s="7" t="s">
        <v>1070</v>
      </c>
      <c r="F470" s="7" t="s">
        <v>1071</v>
      </c>
      <c r="G470" s="11">
        <v>1</v>
      </c>
      <c r="H470" s="11">
        <v>7402000</v>
      </c>
      <c r="I470" s="11" t="str">
        <f>"Tháng"&amp;" "&amp;MONTH(Du_Lieu[[#This Row],[Date]])</f>
        <v>Tháng 12</v>
      </c>
      <c r="J470" s="12">
        <f t="shared" si="21"/>
        <v>316.866438356164</v>
      </c>
      <c r="K470" s="12" t="str">
        <f t="shared" si="22"/>
        <v>OTHER</v>
      </c>
      <c r="L470" s="13">
        <f t="shared" si="23"/>
        <v>1</v>
      </c>
      <c r="M470" s="15"/>
      <c r="N470" s="7">
        <f>COUNTIF(F:F,Du_Lieu[[#This Row],[Invoice]])</f>
        <v>1</v>
      </c>
    </row>
    <row r="471" ht="13.5" customHeight="1" spans="1:14">
      <c r="A471" s="10">
        <v>44540</v>
      </c>
      <c r="B471" s="7" t="s">
        <v>44</v>
      </c>
      <c r="C471" s="7" t="s">
        <v>59</v>
      </c>
      <c r="D471" s="7" t="s">
        <v>1072</v>
      </c>
      <c r="E471" s="7" t="s">
        <v>1073</v>
      </c>
      <c r="F471" s="7" t="s">
        <v>1074</v>
      </c>
      <c r="G471" s="11">
        <v>1</v>
      </c>
      <c r="H471" s="11">
        <v>22566000</v>
      </c>
      <c r="I471" s="11" t="str">
        <f>"Tháng"&amp;" "&amp;MONTH(Du_Lieu[[#This Row],[Date]])</f>
        <v>Tháng 12</v>
      </c>
      <c r="J471" s="12">
        <f t="shared" si="21"/>
        <v>966.010273972603</v>
      </c>
      <c r="K471" s="12" t="str">
        <f t="shared" si="22"/>
        <v>OTHER</v>
      </c>
      <c r="L471" s="13">
        <f t="shared" si="23"/>
        <v>0.333333333333333</v>
      </c>
      <c r="M471" s="15"/>
      <c r="N471" s="7">
        <f>COUNTIF(F:F,Du_Lieu[[#This Row],[Invoice]])</f>
        <v>1</v>
      </c>
    </row>
    <row r="472" spans="1:14">
      <c r="A472" s="10">
        <v>44540</v>
      </c>
      <c r="B472" s="7" t="s">
        <v>44</v>
      </c>
      <c r="C472" s="7" t="s">
        <v>59</v>
      </c>
      <c r="D472" s="7" t="s">
        <v>1072</v>
      </c>
      <c r="E472" s="7" t="s">
        <v>1073</v>
      </c>
      <c r="F472" s="7" t="s">
        <v>1075</v>
      </c>
      <c r="G472" s="11">
        <v>-1</v>
      </c>
      <c r="H472" s="11">
        <v>-22566000</v>
      </c>
      <c r="I472" s="11" t="str">
        <f>"Tháng"&amp;" "&amp;MONTH(Du_Lieu[[#This Row],[Date]])</f>
        <v>Tháng 12</v>
      </c>
      <c r="J472" s="12">
        <f t="shared" si="21"/>
        <v>-966.010273972603</v>
      </c>
      <c r="K472" s="12" t="str">
        <f t="shared" si="22"/>
        <v>OTHER</v>
      </c>
      <c r="L472" s="13">
        <f t="shared" si="23"/>
        <v>0.333333333333333</v>
      </c>
      <c r="M472" s="15"/>
      <c r="N472" s="7">
        <f>COUNTIF(F:F,Du_Lieu[[#This Row],[Invoice]])</f>
        <v>1</v>
      </c>
    </row>
    <row r="473" spans="1:14">
      <c r="A473" s="10">
        <v>44540</v>
      </c>
      <c r="B473" s="7" t="s">
        <v>44</v>
      </c>
      <c r="C473" s="7" t="s">
        <v>59</v>
      </c>
      <c r="D473" s="7" t="s">
        <v>1072</v>
      </c>
      <c r="E473" s="7" t="s">
        <v>1073</v>
      </c>
      <c r="F473" s="7" t="s">
        <v>1076</v>
      </c>
      <c r="G473" s="11">
        <v>1</v>
      </c>
      <c r="H473" s="11">
        <v>22566000</v>
      </c>
      <c r="I473" s="11" t="str">
        <f>"Tháng"&amp;" "&amp;MONTH(Du_Lieu[[#This Row],[Date]])</f>
        <v>Tháng 12</v>
      </c>
      <c r="J473" s="12">
        <f t="shared" si="21"/>
        <v>966.010273972603</v>
      </c>
      <c r="K473" s="12" t="str">
        <f t="shared" si="22"/>
        <v>OTHER</v>
      </c>
      <c r="L473" s="13">
        <f t="shared" si="23"/>
        <v>0.333333333333333</v>
      </c>
      <c r="M473" s="15"/>
      <c r="N473" s="7">
        <f>COUNTIF(F:F,Du_Lieu[[#This Row],[Invoice]])</f>
        <v>1</v>
      </c>
    </row>
    <row r="474" spans="1:14">
      <c r="A474" s="10">
        <v>44541</v>
      </c>
      <c r="B474" s="7" t="s">
        <v>44</v>
      </c>
      <c r="C474" s="7" t="s">
        <v>59</v>
      </c>
      <c r="D474" s="7" t="s">
        <v>1077</v>
      </c>
      <c r="E474" s="7" t="s">
        <v>1078</v>
      </c>
      <c r="F474" s="7" t="s">
        <v>1079</v>
      </c>
      <c r="G474" s="11">
        <v>1</v>
      </c>
      <c r="H474" s="11">
        <v>13630000</v>
      </c>
      <c r="I474" s="11" t="str">
        <f>"Tháng"&amp;" "&amp;MONTH(Du_Lieu[[#This Row],[Date]])</f>
        <v>Tháng 12</v>
      </c>
      <c r="J474" s="12">
        <f t="shared" si="21"/>
        <v>583.47602739726</v>
      </c>
      <c r="K474" s="12" t="str">
        <f t="shared" si="22"/>
        <v>OTHER</v>
      </c>
      <c r="L474" s="13">
        <f t="shared" si="23"/>
        <v>1</v>
      </c>
      <c r="M474" s="15"/>
      <c r="N474" s="7">
        <f>COUNTIF(F:F,Du_Lieu[[#This Row],[Invoice]])</f>
        <v>1</v>
      </c>
    </row>
    <row r="475" spans="1:14">
      <c r="A475" s="10">
        <v>44541</v>
      </c>
      <c r="B475" s="7" t="s">
        <v>44</v>
      </c>
      <c r="C475" s="7" t="s">
        <v>59</v>
      </c>
      <c r="D475" s="7" t="s">
        <v>555</v>
      </c>
      <c r="E475" s="7" t="s">
        <v>1080</v>
      </c>
      <c r="F475" s="7" t="s">
        <v>1081</v>
      </c>
      <c r="G475" s="11">
        <v>1</v>
      </c>
      <c r="H475" s="11">
        <v>6951000</v>
      </c>
      <c r="I475" s="11" t="str">
        <f>"Tháng"&amp;" "&amp;MONTH(Du_Lieu[[#This Row],[Date]])</f>
        <v>Tháng 12</v>
      </c>
      <c r="J475" s="12">
        <f t="shared" si="21"/>
        <v>297.559931506849</v>
      </c>
      <c r="K475" s="12" t="str">
        <f t="shared" si="22"/>
        <v>OTHER</v>
      </c>
      <c r="L475" s="13">
        <f t="shared" si="23"/>
        <v>1</v>
      </c>
      <c r="M475" s="15"/>
      <c r="N475" s="7">
        <f>COUNTIF(F:F,Du_Lieu[[#This Row],[Invoice]])</f>
        <v>1</v>
      </c>
    </row>
    <row r="476" spans="1:14">
      <c r="A476" s="10">
        <v>44541</v>
      </c>
      <c r="B476" s="7" t="s">
        <v>44</v>
      </c>
      <c r="C476" s="7" t="s">
        <v>59</v>
      </c>
      <c r="D476" s="7" t="s">
        <v>1082</v>
      </c>
      <c r="E476" s="7" t="s">
        <v>1083</v>
      </c>
      <c r="F476" s="7" t="s">
        <v>1084</v>
      </c>
      <c r="G476" s="11">
        <v>1</v>
      </c>
      <c r="H476" s="11">
        <v>29787000</v>
      </c>
      <c r="I476" s="11" t="str">
        <f>"Tháng"&amp;" "&amp;MONTH(Du_Lieu[[#This Row],[Date]])</f>
        <v>Tháng 12</v>
      </c>
      <c r="J476" s="12">
        <f t="shared" si="21"/>
        <v>1275.12842465753</v>
      </c>
      <c r="K476" s="12" t="str">
        <f t="shared" si="22"/>
        <v>OTHER</v>
      </c>
      <c r="L476" s="13">
        <f t="shared" si="23"/>
        <v>1</v>
      </c>
      <c r="M476" s="15"/>
      <c r="N476" s="7">
        <f>COUNTIF(F:F,Du_Lieu[[#This Row],[Invoice]])</f>
        <v>1</v>
      </c>
    </row>
    <row r="477" spans="1:14">
      <c r="A477" s="10">
        <v>44541</v>
      </c>
      <c r="B477" s="7" t="s">
        <v>44</v>
      </c>
      <c r="C477" s="7" t="s">
        <v>59</v>
      </c>
      <c r="D477" s="7" t="s">
        <v>1085</v>
      </c>
      <c r="E477" s="7" t="s">
        <v>1086</v>
      </c>
      <c r="F477" s="7" t="s">
        <v>1087</v>
      </c>
      <c r="G477" s="11">
        <v>1</v>
      </c>
      <c r="H477" s="11">
        <v>31592000</v>
      </c>
      <c r="I477" s="11" t="str">
        <f>"Tháng"&amp;" "&amp;MONTH(Du_Lieu[[#This Row],[Date]])</f>
        <v>Tháng 12</v>
      </c>
      <c r="J477" s="12">
        <f t="shared" si="21"/>
        <v>1352.39726027397</v>
      </c>
      <c r="K477" s="12" t="str">
        <f t="shared" si="22"/>
        <v>OTHER</v>
      </c>
      <c r="L477" s="13">
        <f t="shared" si="23"/>
        <v>1</v>
      </c>
      <c r="M477" s="15"/>
      <c r="N477" s="7">
        <f>COUNTIF(F:F,Du_Lieu[[#This Row],[Invoice]])</f>
        <v>1</v>
      </c>
    </row>
    <row r="478" spans="1:14">
      <c r="A478" s="10">
        <v>44541</v>
      </c>
      <c r="B478" s="7" t="s">
        <v>44</v>
      </c>
      <c r="C478" s="7" t="s">
        <v>59</v>
      </c>
      <c r="D478" s="7" t="s">
        <v>692</v>
      </c>
      <c r="E478" s="7" t="s">
        <v>1088</v>
      </c>
      <c r="F478" s="7" t="s">
        <v>1089</v>
      </c>
      <c r="G478" s="11">
        <v>1</v>
      </c>
      <c r="H478" s="11">
        <v>60476000</v>
      </c>
      <c r="I478" s="11" t="str">
        <f>"Tháng"&amp;" "&amp;MONTH(Du_Lieu[[#This Row],[Date]])</f>
        <v>Tháng 12</v>
      </c>
      <c r="J478" s="12">
        <f t="shared" si="21"/>
        <v>2588.8698630137</v>
      </c>
      <c r="K478" s="12" t="str">
        <f t="shared" si="22"/>
        <v>OTHER</v>
      </c>
      <c r="L478" s="13">
        <f t="shared" si="23"/>
        <v>0.333333333333333</v>
      </c>
      <c r="M478" s="15"/>
      <c r="N478" s="7">
        <f>COUNTIF(F:F,Du_Lieu[[#This Row],[Invoice]])</f>
        <v>1</v>
      </c>
    </row>
    <row r="479" spans="1:14">
      <c r="A479" s="10">
        <v>44541</v>
      </c>
      <c r="B479" s="7" t="s">
        <v>44</v>
      </c>
      <c r="C479" s="7" t="s">
        <v>59</v>
      </c>
      <c r="D479" s="7" t="s">
        <v>1090</v>
      </c>
      <c r="E479" s="7" t="s">
        <v>1091</v>
      </c>
      <c r="F479" s="7" t="s">
        <v>1092</v>
      </c>
      <c r="G479" s="11">
        <v>1</v>
      </c>
      <c r="H479" s="11">
        <v>56865000</v>
      </c>
      <c r="I479" s="11" t="str">
        <f>"Tháng"&amp;" "&amp;MONTH(Du_Lieu[[#This Row],[Date]])</f>
        <v>Tháng 12</v>
      </c>
      <c r="J479" s="12">
        <f t="shared" si="21"/>
        <v>2434.28938356164</v>
      </c>
      <c r="K479" s="12" t="str">
        <f t="shared" si="22"/>
        <v>OTHER</v>
      </c>
      <c r="L479" s="13">
        <f t="shared" si="23"/>
        <v>1</v>
      </c>
      <c r="M479" s="15"/>
      <c r="N479" s="7">
        <f>COUNTIF(F:F,Du_Lieu[[#This Row],[Invoice]])</f>
        <v>1</v>
      </c>
    </row>
    <row r="480" spans="1:14">
      <c r="A480" s="10">
        <v>44541</v>
      </c>
      <c r="B480" s="7" t="s">
        <v>44</v>
      </c>
      <c r="C480" s="7" t="s">
        <v>59</v>
      </c>
      <c r="D480" s="7" t="s">
        <v>417</v>
      </c>
      <c r="E480" s="7" t="s">
        <v>1093</v>
      </c>
      <c r="F480" s="7" t="s">
        <v>1094</v>
      </c>
      <c r="G480" s="11">
        <v>1</v>
      </c>
      <c r="H480" s="11">
        <v>7763000</v>
      </c>
      <c r="I480" s="11" t="str">
        <f>"Tháng"&amp;" "&amp;MONTH(Du_Lieu[[#This Row],[Date]])</f>
        <v>Tháng 12</v>
      </c>
      <c r="J480" s="12">
        <f t="shared" si="21"/>
        <v>332.320205479452</v>
      </c>
      <c r="K480" s="12" t="str">
        <f t="shared" si="22"/>
        <v>OTHER</v>
      </c>
      <c r="L480" s="13">
        <f t="shared" si="23"/>
        <v>1</v>
      </c>
      <c r="M480" s="15"/>
      <c r="N480" s="7">
        <f>COUNTIF(F:F,Du_Lieu[[#This Row],[Invoice]])</f>
        <v>1</v>
      </c>
    </row>
    <row r="481" spans="1:14">
      <c r="A481" s="10">
        <v>44541</v>
      </c>
      <c r="B481" s="7" t="s">
        <v>44</v>
      </c>
      <c r="C481" s="7" t="s">
        <v>59</v>
      </c>
      <c r="D481" s="7" t="s">
        <v>260</v>
      </c>
      <c r="E481" s="7" t="s">
        <v>1095</v>
      </c>
      <c r="F481" s="7" t="s">
        <v>1096</v>
      </c>
      <c r="G481" s="11">
        <v>1</v>
      </c>
      <c r="H481" s="11">
        <v>55060000</v>
      </c>
      <c r="I481" s="11" t="str">
        <f>"Tháng"&amp;" "&amp;MONTH(Du_Lieu[[#This Row],[Date]])</f>
        <v>Tháng 12</v>
      </c>
      <c r="J481" s="12">
        <f t="shared" si="21"/>
        <v>2357.02054794521</v>
      </c>
      <c r="K481" s="12" t="str">
        <f t="shared" si="22"/>
        <v>OTHER</v>
      </c>
      <c r="L481" s="13">
        <f t="shared" si="23"/>
        <v>1</v>
      </c>
      <c r="M481" s="15"/>
      <c r="N481" s="7">
        <f>COUNTIF(F:F,Du_Lieu[[#This Row],[Invoice]])</f>
        <v>1</v>
      </c>
    </row>
    <row r="482" spans="1:14">
      <c r="A482" s="10">
        <v>44541</v>
      </c>
      <c r="B482" s="7" t="s">
        <v>44</v>
      </c>
      <c r="C482" s="7" t="s">
        <v>59</v>
      </c>
      <c r="D482" s="7" t="s">
        <v>692</v>
      </c>
      <c r="E482" s="7" t="s">
        <v>1088</v>
      </c>
      <c r="F482" s="7" t="s">
        <v>1097</v>
      </c>
      <c r="G482" s="11">
        <v>-1</v>
      </c>
      <c r="H482" s="11">
        <v>-60476000</v>
      </c>
      <c r="I482" s="11" t="str">
        <f>"Tháng"&amp;" "&amp;MONTH(Du_Lieu[[#This Row],[Date]])</f>
        <v>Tháng 12</v>
      </c>
      <c r="J482" s="12">
        <f t="shared" si="21"/>
        <v>-2588.8698630137</v>
      </c>
      <c r="K482" s="12" t="str">
        <f t="shared" si="22"/>
        <v>OTHER</v>
      </c>
      <c r="L482" s="13">
        <f t="shared" si="23"/>
        <v>0.333333333333333</v>
      </c>
      <c r="M482" s="15"/>
      <c r="N482" s="7">
        <f>COUNTIF(F:F,Du_Lieu[[#This Row],[Invoice]])</f>
        <v>1</v>
      </c>
    </row>
    <row r="483" spans="1:14">
      <c r="A483" s="10">
        <v>44541</v>
      </c>
      <c r="B483" s="7" t="s">
        <v>44</v>
      </c>
      <c r="C483" s="7" t="s">
        <v>59</v>
      </c>
      <c r="D483" s="7" t="s">
        <v>417</v>
      </c>
      <c r="E483" s="7" t="s">
        <v>1098</v>
      </c>
      <c r="F483" s="7" t="s">
        <v>1099</v>
      </c>
      <c r="G483" s="11">
        <v>1</v>
      </c>
      <c r="H483" s="11">
        <v>7763000</v>
      </c>
      <c r="I483" s="11" t="str">
        <f>"Tháng"&amp;" "&amp;MONTH(Du_Lieu[[#This Row],[Date]])</f>
        <v>Tháng 12</v>
      </c>
      <c r="J483" s="12">
        <f t="shared" si="21"/>
        <v>332.320205479452</v>
      </c>
      <c r="K483" s="12" t="str">
        <f t="shared" si="22"/>
        <v>OTHER</v>
      </c>
      <c r="L483" s="13">
        <f t="shared" si="23"/>
        <v>1</v>
      </c>
      <c r="M483" s="15"/>
      <c r="N483" s="7">
        <f>COUNTIF(F:F,Du_Lieu[[#This Row],[Invoice]])</f>
        <v>1</v>
      </c>
    </row>
    <row r="484" spans="1:14">
      <c r="A484" s="10">
        <v>44541</v>
      </c>
      <c r="B484" s="7" t="s">
        <v>44</v>
      </c>
      <c r="C484" s="7" t="s">
        <v>59</v>
      </c>
      <c r="D484" s="7" t="s">
        <v>692</v>
      </c>
      <c r="E484" s="7" t="s">
        <v>1088</v>
      </c>
      <c r="F484" s="7" t="s">
        <v>1100</v>
      </c>
      <c r="G484" s="11">
        <v>1</v>
      </c>
      <c r="H484" s="11">
        <v>60476000</v>
      </c>
      <c r="I484" s="11" t="str">
        <f>"Tháng"&amp;" "&amp;MONTH(Du_Lieu[[#This Row],[Date]])</f>
        <v>Tháng 12</v>
      </c>
      <c r="J484" s="12">
        <f t="shared" si="21"/>
        <v>2588.8698630137</v>
      </c>
      <c r="K484" s="12" t="str">
        <f t="shared" si="22"/>
        <v>OTHER</v>
      </c>
      <c r="L484" s="13">
        <f t="shared" si="23"/>
        <v>0.333333333333333</v>
      </c>
      <c r="M484" s="15"/>
      <c r="N484" s="7">
        <f>COUNTIF(F:F,Du_Lieu[[#This Row],[Invoice]])</f>
        <v>1</v>
      </c>
    </row>
    <row r="485" spans="1:14">
      <c r="A485" s="10">
        <v>44542</v>
      </c>
      <c r="B485" s="7" t="s">
        <v>13</v>
      </c>
      <c r="C485" s="7" t="s">
        <v>59</v>
      </c>
      <c r="D485" s="7" t="s">
        <v>155</v>
      </c>
      <c r="E485" s="7" t="s">
        <v>1101</v>
      </c>
      <c r="F485" s="7" t="s">
        <v>1102</v>
      </c>
      <c r="G485" s="11">
        <v>1</v>
      </c>
      <c r="H485" s="11">
        <v>55060000</v>
      </c>
      <c r="I485" s="11" t="str">
        <f>"Tháng"&amp;" "&amp;MONTH(Du_Lieu[[#This Row],[Date]])</f>
        <v>Tháng 12</v>
      </c>
      <c r="J485" s="12">
        <f t="shared" si="21"/>
        <v>2357.02054794521</v>
      </c>
      <c r="K485" s="12" t="str">
        <f t="shared" si="22"/>
        <v>OTHER</v>
      </c>
      <c r="L485" s="13">
        <f t="shared" si="23"/>
        <v>1</v>
      </c>
      <c r="M485" s="15"/>
      <c r="N485" s="7">
        <f>COUNTIF(F:F,Du_Lieu[[#This Row],[Invoice]])</f>
        <v>1</v>
      </c>
    </row>
    <row r="486" spans="1:14">
      <c r="A486" s="10">
        <v>44542</v>
      </c>
      <c r="B486" s="7" t="s">
        <v>44</v>
      </c>
      <c r="C486" s="7" t="s">
        <v>59</v>
      </c>
      <c r="D486" s="7" t="s">
        <v>403</v>
      </c>
      <c r="E486" s="7" t="s">
        <v>1103</v>
      </c>
      <c r="F486" s="7" t="s">
        <v>1104</v>
      </c>
      <c r="G486" s="11">
        <v>1</v>
      </c>
      <c r="H486" s="11">
        <v>26176000</v>
      </c>
      <c r="I486" s="11" t="str">
        <f>"Tháng"&amp;" "&amp;MONTH(Du_Lieu[[#This Row],[Date]])</f>
        <v>Tháng 12</v>
      </c>
      <c r="J486" s="12">
        <f t="shared" si="21"/>
        <v>1120.54794520548</v>
      </c>
      <c r="K486" s="12" t="str">
        <f t="shared" si="22"/>
        <v>OTHER</v>
      </c>
      <c r="L486" s="13">
        <f t="shared" si="23"/>
        <v>1</v>
      </c>
      <c r="M486" s="15"/>
      <c r="N486" s="7">
        <f>COUNTIF(F:F,Du_Lieu[[#This Row],[Invoice]])</f>
        <v>1</v>
      </c>
    </row>
    <row r="487" spans="1:14">
      <c r="A487" s="10">
        <v>44542</v>
      </c>
      <c r="B487" s="7" t="s">
        <v>44</v>
      </c>
      <c r="C487" s="7" t="s">
        <v>59</v>
      </c>
      <c r="D487" s="7" t="s">
        <v>1105</v>
      </c>
      <c r="E487" s="7" t="s">
        <v>1106</v>
      </c>
      <c r="F487" s="7" t="s">
        <v>1107</v>
      </c>
      <c r="G487" s="11">
        <v>1</v>
      </c>
      <c r="H487" s="11">
        <v>56865000</v>
      </c>
      <c r="I487" s="11" t="str">
        <f>"Tháng"&amp;" "&amp;MONTH(Du_Lieu[[#This Row],[Date]])</f>
        <v>Tháng 12</v>
      </c>
      <c r="J487" s="12">
        <f t="shared" si="21"/>
        <v>2434.28938356164</v>
      </c>
      <c r="K487" s="12" t="str">
        <f t="shared" si="22"/>
        <v>OTHER</v>
      </c>
      <c r="L487" s="13">
        <f t="shared" si="23"/>
        <v>1</v>
      </c>
      <c r="M487" s="15"/>
      <c r="N487" s="7">
        <f>COUNTIF(F:F,Du_Lieu[[#This Row],[Invoice]])</f>
        <v>1</v>
      </c>
    </row>
    <row r="488" spans="1:14">
      <c r="A488" s="10">
        <v>44542</v>
      </c>
      <c r="B488" s="7" t="s">
        <v>44</v>
      </c>
      <c r="C488" s="7" t="s">
        <v>59</v>
      </c>
      <c r="D488" s="7" t="s">
        <v>1108</v>
      </c>
      <c r="E488" s="7" t="s">
        <v>1109</v>
      </c>
      <c r="F488" s="7" t="s">
        <v>1110</v>
      </c>
      <c r="G488" s="11">
        <v>1</v>
      </c>
      <c r="H488" s="11">
        <v>60476000</v>
      </c>
      <c r="I488" s="11" t="str">
        <f>"Tháng"&amp;" "&amp;MONTH(Du_Lieu[[#This Row],[Date]])</f>
        <v>Tháng 12</v>
      </c>
      <c r="J488" s="12">
        <f t="shared" si="21"/>
        <v>2588.8698630137</v>
      </c>
      <c r="K488" s="12" t="str">
        <f t="shared" si="22"/>
        <v>OTHER</v>
      </c>
      <c r="L488" s="13">
        <f t="shared" si="23"/>
        <v>1</v>
      </c>
      <c r="M488" s="15"/>
      <c r="N488" s="7">
        <f>COUNTIF(F:F,Du_Lieu[[#This Row],[Invoice]])</f>
        <v>1</v>
      </c>
    </row>
    <row r="489" spans="1:14">
      <c r="A489" s="10">
        <v>44542</v>
      </c>
      <c r="B489" s="7" t="s">
        <v>44</v>
      </c>
      <c r="C489" s="7" t="s">
        <v>59</v>
      </c>
      <c r="D489" s="7" t="s">
        <v>631</v>
      </c>
      <c r="E489" s="7" t="s">
        <v>1111</v>
      </c>
      <c r="F489" s="7" t="s">
        <v>1112</v>
      </c>
      <c r="G489" s="11">
        <v>1</v>
      </c>
      <c r="H489" s="11">
        <v>13179000</v>
      </c>
      <c r="I489" s="11" t="str">
        <f>"Tháng"&amp;" "&amp;MONTH(Du_Lieu[[#This Row],[Date]])</f>
        <v>Tháng 12</v>
      </c>
      <c r="J489" s="12">
        <f t="shared" si="21"/>
        <v>564.169520547945</v>
      </c>
      <c r="K489" s="12" t="str">
        <f t="shared" si="22"/>
        <v>OTHER</v>
      </c>
      <c r="L489" s="13">
        <f t="shared" si="23"/>
        <v>1</v>
      </c>
      <c r="M489" s="15"/>
      <c r="N489" s="7">
        <f>COUNTIF(F:F,Du_Lieu[[#This Row],[Invoice]])</f>
        <v>1</v>
      </c>
    </row>
    <row r="490" spans="1:14">
      <c r="A490" s="10">
        <v>44543</v>
      </c>
      <c r="B490" s="7" t="s">
        <v>44</v>
      </c>
      <c r="C490" s="7" t="s">
        <v>59</v>
      </c>
      <c r="D490" s="7" t="s">
        <v>1046</v>
      </c>
      <c r="E490" s="7" t="s">
        <v>1113</v>
      </c>
      <c r="F490" s="7" t="s">
        <v>1114</v>
      </c>
      <c r="G490" s="11">
        <v>1</v>
      </c>
      <c r="H490" s="11">
        <v>6951000</v>
      </c>
      <c r="I490" s="11" t="str">
        <f>"Tháng"&amp;" "&amp;MONTH(Du_Lieu[[#This Row],[Date]])</f>
        <v>Tháng 12</v>
      </c>
      <c r="J490" s="12">
        <f t="shared" si="21"/>
        <v>297.559931506849</v>
      </c>
      <c r="K490" s="12" t="str">
        <f t="shared" si="22"/>
        <v>OTHER</v>
      </c>
      <c r="L490" s="13">
        <f t="shared" si="23"/>
        <v>1</v>
      </c>
      <c r="M490" s="15"/>
      <c r="N490" s="7">
        <f>COUNTIF(F:F,Du_Lieu[[#This Row],[Invoice]])</f>
        <v>1</v>
      </c>
    </row>
    <row r="491" spans="1:14">
      <c r="A491" s="10">
        <v>44543</v>
      </c>
      <c r="B491" s="7" t="s">
        <v>44</v>
      </c>
      <c r="C491" s="7" t="s">
        <v>59</v>
      </c>
      <c r="D491" s="7" t="s">
        <v>1115</v>
      </c>
      <c r="E491" s="7" t="s">
        <v>1116</v>
      </c>
      <c r="F491" s="7" t="s">
        <v>1117</v>
      </c>
      <c r="G491" s="11">
        <v>1</v>
      </c>
      <c r="H491" s="11">
        <v>7763000</v>
      </c>
      <c r="I491" s="11" t="str">
        <f>"Tháng"&amp;" "&amp;MONTH(Du_Lieu[[#This Row],[Date]])</f>
        <v>Tháng 12</v>
      </c>
      <c r="J491" s="12">
        <f t="shared" si="21"/>
        <v>332.320205479452</v>
      </c>
      <c r="K491" s="12" t="str">
        <f t="shared" si="22"/>
        <v>OTHER</v>
      </c>
      <c r="L491" s="13">
        <f t="shared" si="23"/>
        <v>0.5</v>
      </c>
      <c r="M491" s="15"/>
      <c r="N491" s="7">
        <f>COUNTIF(F:F,Du_Lieu[[#This Row],[Invoice]])</f>
        <v>2</v>
      </c>
    </row>
    <row r="492" spans="1:14">
      <c r="A492" s="10">
        <v>44543</v>
      </c>
      <c r="B492" s="7" t="s">
        <v>44</v>
      </c>
      <c r="C492" s="7" t="s">
        <v>59</v>
      </c>
      <c r="D492" s="7" t="s">
        <v>727</v>
      </c>
      <c r="E492" s="7" t="s">
        <v>1116</v>
      </c>
      <c r="F492" s="7" t="s">
        <v>1117</v>
      </c>
      <c r="G492" s="11">
        <v>1</v>
      </c>
      <c r="H492" s="11">
        <v>13179000</v>
      </c>
      <c r="I492" s="11" t="str">
        <f>"Tháng"&amp;" "&amp;MONTH(Du_Lieu[[#This Row],[Date]])</f>
        <v>Tháng 12</v>
      </c>
      <c r="J492" s="12">
        <f t="shared" si="21"/>
        <v>564.169520547945</v>
      </c>
      <c r="K492" s="12" t="str">
        <f t="shared" si="22"/>
        <v>OTHER</v>
      </c>
      <c r="L492" s="13">
        <f t="shared" si="23"/>
        <v>0.5</v>
      </c>
      <c r="M492" s="15"/>
      <c r="N492" s="7">
        <f>COUNTIF(F:F,Du_Lieu[[#This Row],[Invoice]])</f>
        <v>2</v>
      </c>
    </row>
    <row r="493" spans="1:14">
      <c r="A493" s="10">
        <v>44544</v>
      </c>
      <c r="B493" s="7" t="s">
        <v>263</v>
      </c>
      <c r="C493" s="7" t="s">
        <v>59</v>
      </c>
      <c r="D493" s="7" t="s">
        <v>1118</v>
      </c>
      <c r="E493" s="7" t="s">
        <v>1119</v>
      </c>
      <c r="F493" s="7" t="s">
        <v>1120</v>
      </c>
      <c r="G493" s="11">
        <v>1</v>
      </c>
      <c r="H493" s="11">
        <v>17963000</v>
      </c>
      <c r="I493" s="11" t="str">
        <f>"Tháng"&amp;" "&amp;MONTH(Du_Lieu[[#This Row],[Date]])</f>
        <v>Tháng 12</v>
      </c>
      <c r="J493" s="12">
        <f t="shared" si="21"/>
        <v>768.96404109589</v>
      </c>
      <c r="K493" s="12" t="str">
        <f t="shared" si="22"/>
        <v>OTHER</v>
      </c>
      <c r="L493" s="13">
        <f t="shared" si="23"/>
        <v>1</v>
      </c>
      <c r="M493" s="15"/>
      <c r="N493" s="7">
        <f>COUNTIF(F:F,Du_Lieu[[#This Row],[Invoice]])</f>
        <v>1</v>
      </c>
    </row>
    <row r="494" spans="1:14">
      <c r="A494" s="10">
        <v>44545</v>
      </c>
      <c r="B494" s="7" t="s">
        <v>263</v>
      </c>
      <c r="C494" s="7" t="s">
        <v>59</v>
      </c>
      <c r="D494" s="7" t="s">
        <v>243</v>
      </c>
      <c r="E494" s="7" t="s">
        <v>1121</v>
      </c>
      <c r="F494" s="7" t="s">
        <v>1122</v>
      </c>
      <c r="G494" s="11">
        <v>1</v>
      </c>
      <c r="H494" s="11">
        <v>26176000</v>
      </c>
      <c r="I494" s="11" t="str">
        <f>"Tháng"&amp;" "&amp;MONTH(Du_Lieu[[#This Row],[Date]])</f>
        <v>Tháng 12</v>
      </c>
      <c r="J494" s="12">
        <f t="shared" si="21"/>
        <v>1120.54794520548</v>
      </c>
      <c r="K494" s="12" t="str">
        <f t="shared" si="22"/>
        <v>OTHER</v>
      </c>
      <c r="L494" s="13">
        <f t="shared" si="23"/>
        <v>1</v>
      </c>
      <c r="M494" s="15"/>
      <c r="N494" s="7">
        <f>COUNTIF(F:F,Du_Lieu[[#This Row],[Invoice]])</f>
        <v>1</v>
      </c>
    </row>
    <row r="495" spans="1:14">
      <c r="A495" s="10">
        <v>44545</v>
      </c>
      <c r="B495" s="7" t="s">
        <v>13</v>
      </c>
      <c r="C495" s="7" t="s">
        <v>59</v>
      </c>
      <c r="D495" s="7" t="s">
        <v>1123</v>
      </c>
      <c r="E495" s="7" t="s">
        <v>1124</v>
      </c>
      <c r="F495" s="7" t="s">
        <v>1125</v>
      </c>
      <c r="G495" s="11">
        <v>1</v>
      </c>
      <c r="H495" s="11">
        <v>4097881000</v>
      </c>
      <c r="I495" s="11" t="str">
        <f>"Tháng"&amp;" "&amp;MONTH(Du_Lieu[[#This Row],[Date]])</f>
        <v>Tháng 12</v>
      </c>
      <c r="J495" s="12">
        <f t="shared" si="21"/>
        <v>175422.988013699</v>
      </c>
      <c r="K495" s="12" t="str">
        <f t="shared" si="22"/>
        <v>PLATINUM</v>
      </c>
      <c r="L495" s="13">
        <f t="shared" si="23"/>
        <v>1</v>
      </c>
      <c r="M495" s="15"/>
      <c r="N495" s="7">
        <f>COUNTIF(F:F,Du_Lieu[[#This Row],[Invoice]])</f>
        <v>1</v>
      </c>
    </row>
    <row r="496" spans="1:14">
      <c r="A496" s="10">
        <v>44545</v>
      </c>
      <c r="B496" s="7" t="s">
        <v>263</v>
      </c>
      <c r="C496" s="7" t="s">
        <v>59</v>
      </c>
      <c r="D496" s="7" t="s">
        <v>1029</v>
      </c>
      <c r="E496" s="7" t="s">
        <v>1126</v>
      </c>
      <c r="F496" s="7" t="s">
        <v>1127</v>
      </c>
      <c r="G496" s="11">
        <v>1</v>
      </c>
      <c r="H496" s="11">
        <v>6951000</v>
      </c>
      <c r="I496" s="11" t="str">
        <f>"Tháng"&amp;" "&amp;MONTH(Du_Lieu[[#This Row],[Date]])</f>
        <v>Tháng 12</v>
      </c>
      <c r="J496" s="12">
        <f t="shared" si="21"/>
        <v>297.559931506849</v>
      </c>
      <c r="K496" s="12" t="str">
        <f t="shared" si="22"/>
        <v>OTHER</v>
      </c>
      <c r="L496" s="13">
        <f t="shared" si="23"/>
        <v>1</v>
      </c>
      <c r="M496" s="15"/>
      <c r="N496" s="7">
        <f>COUNTIF(F:F,Du_Lieu[[#This Row],[Invoice]])</f>
        <v>1</v>
      </c>
    </row>
  </sheetData>
  <autoFilter xmlns:etc="http://www.wps.cn/officeDocument/2017/etCustomData" ref="J1:N496" etc:filterBottomFollowUsedRange="0">
    <extLst/>
  </autoFilter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E499"/>
  <sheetViews>
    <sheetView zoomScale="90" zoomScaleNormal="90" workbookViewId="0">
      <pane xSplit="2" ySplit="11" topLeftCell="F12" activePane="bottomRight" state="frozen"/>
      <selection/>
      <selection pane="topRight"/>
      <selection pane="bottomLeft"/>
      <selection pane="bottomRight" activeCell="F3" sqref="F3"/>
    </sheetView>
  </sheetViews>
  <sheetFormatPr defaultColWidth="9" defaultRowHeight="14.4"/>
  <cols>
    <col min="1" max="1" width="20.4259259259259" customWidth="1"/>
    <col min="2" max="2" width="12.5740740740741" customWidth="1"/>
    <col min="3" max="3" width="18.287037037037" customWidth="1"/>
    <col min="4" max="4" width="4.71296296296296" customWidth="1"/>
    <col min="5" max="5" width="24" customWidth="1"/>
    <col min="6" max="6" width="17.712962962963" customWidth="1"/>
    <col min="7" max="7" width="3.57407407407407" customWidth="1"/>
    <col min="8" max="8" width="40.712962962963" customWidth="1"/>
    <col min="9" max="9" width="5.71296296296296" customWidth="1"/>
    <col min="10" max="10" width="31.712962962963" customWidth="1"/>
    <col min="12" max="13" width="41.8518518518519" customWidth="1"/>
    <col min="14" max="14" width="36" customWidth="1"/>
    <col min="16" max="16" width="25.1388888888889" customWidth="1"/>
    <col min="17" max="17" width="16.287037037037" customWidth="1"/>
    <col min="18" max="18" width="6" customWidth="1"/>
    <col min="19" max="19" width="24" customWidth="1"/>
    <col min="20" max="20" width="16.4259259259259" customWidth="1"/>
    <col min="21" max="21" width="4.57407407407407" customWidth="1"/>
    <col min="22" max="22" width="38.712962962963" customWidth="1"/>
    <col min="23" max="23" width="15.8518518518519" customWidth="1"/>
    <col min="24" max="24" width="5.71296296296296" customWidth="1"/>
    <col min="25" max="25" width="36" customWidth="1"/>
    <col min="26" max="26" width="18.8518518518519" customWidth="1"/>
    <col min="27" max="27" width="4.28703703703704" customWidth="1"/>
    <col min="28" max="28" width="16.1388888888889" customWidth="1"/>
    <col min="29" max="29" width="15.5740740740741" customWidth="1"/>
    <col min="30" max="30" width="15.8518518518519" customWidth="1"/>
    <col min="31" max="31" width="17.8518518518519" customWidth="1"/>
  </cols>
  <sheetData>
    <row r="2" spans="1:31">
      <c r="P2" s="1" t="s">
        <v>1128</v>
      </c>
      <c r="Q2" s="1"/>
      <c r="S2" s="1" t="s">
        <v>1129</v>
      </c>
      <c r="T2" s="1"/>
      <c r="V2" s="1" t="s">
        <v>1130</v>
      </c>
      <c r="Y2" s="1" t="s">
        <v>1131</v>
      </c>
      <c r="AB2" s="1" t="s">
        <v>1132</v>
      </c>
      <c r="AC2" s="1"/>
    </row>
    <row r="3" spans="1:31">
      <c r="A3" t="s">
        <v>52</v>
      </c>
      <c r="B3" t="s">
        <v>53</v>
      </c>
      <c r="C3" t="s">
        <v>1133</v>
      </c>
      <c r="E3" t="s">
        <v>51</v>
      </c>
      <c r="F3" t="s">
        <v>1133</v>
      </c>
      <c r="H3" t="s">
        <v>50</v>
      </c>
      <c r="I3" t="s">
        <v>1134</v>
      </c>
      <c r="J3" t="s">
        <v>1133</v>
      </c>
      <c r="L3" t="s">
        <v>52</v>
      </c>
      <c r="M3" t="s">
        <v>50</v>
      </c>
      <c r="N3" t="s">
        <v>1133</v>
      </c>
      <c r="P3" t="s">
        <v>51</v>
      </c>
      <c r="Q3" t="s">
        <v>1134</v>
      </c>
      <c r="S3" t="s">
        <v>51</v>
      </c>
      <c r="T3" t="s">
        <v>43</v>
      </c>
      <c r="V3" t="s">
        <v>50</v>
      </c>
      <c r="W3" t="s">
        <v>1134</v>
      </c>
      <c r="Y3" t="s">
        <v>50</v>
      </c>
      <c r="Z3" t="s">
        <v>43</v>
      </c>
      <c r="AB3" t="s">
        <v>48</v>
      </c>
      <c r="AC3" t="s">
        <v>1135</v>
      </c>
      <c r="AD3" t="s">
        <v>1134</v>
      </c>
      <c r="AE3" t="s">
        <v>43</v>
      </c>
    </row>
    <row r="4" spans="1:31">
      <c r="A4" t="s">
        <v>62</v>
      </c>
      <c r="B4" s="2">
        <v>1</v>
      </c>
      <c r="C4">
        <v>231.849315068493</v>
      </c>
      <c r="E4" t="s">
        <v>602</v>
      </c>
      <c r="F4">
        <v>792.166095890411</v>
      </c>
      <c r="H4" t="s">
        <v>882</v>
      </c>
      <c r="I4">
        <v>1</v>
      </c>
      <c r="J4">
        <v>3554.83732876712</v>
      </c>
      <c r="L4" t="s">
        <v>62</v>
      </c>
      <c r="M4" t="s">
        <v>60</v>
      </c>
      <c r="N4">
        <v>231.849315068493</v>
      </c>
      <c r="P4" t="s">
        <v>126</v>
      </c>
      <c r="Q4">
        <v>10</v>
      </c>
      <c r="S4" t="s">
        <v>1124</v>
      </c>
      <c r="T4" s="3">
        <v>4097881000</v>
      </c>
      <c r="V4" t="s">
        <v>403</v>
      </c>
      <c r="W4">
        <v>10</v>
      </c>
      <c r="Y4" t="s">
        <v>1123</v>
      </c>
      <c r="Z4" s="3">
        <v>4097881000</v>
      </c>
      <c r="AB4" t="s">
        <v>215</v>
      </c>
      <c r="AC4">
        <v>3</v>
      </c>
      <c r="AD4">
        <v>3</v>
      </c>
      <c r="AE4" s="3">
        <v>1705043800</v>
      </c>
    </row>
    <row r="5" spans="1:31">
      <c r="A5" t="s">
        <v>65</v>
      </c>
      <c r="B5" s="2">
        <v>1</v>
      </c>
      <c r="C5">
        <v>1928.16780821918</v>
      </c>
      <c r="E5" t="s">
        <v>968</v>
      </c>
      <c r="F5">
        <v>633.732876712329</v>
      </c>
      <c r="H5" t="s">
        <v>606</v>
      </c>
      <c r="I5">
        <v>3</v>
      </c>
      <c r="J5">
        <v>6607.44863013699</v>
      </c>
      <c r="L5" t="s">
        <v>65</v>
      </c>
      <c r="M5" t="s">
        <v>63</v>
      </c>
      <c r="N5">
        <v>1661.5154109589</v>
      </c>
      <c r="P5" t="s">
        <v>163</v>
      </c>
      <c r="Q5">
        <v>6</v>
      </c>
      <c r="S5" t="s">
        <v>1041</v>
      </c>
      <c r="T5" s="3">
        <v>2201483000</v>
      </c>
      <c r="V5" t="s">
        <v>289</v>
      </c>
      <c r="W5">
        <v>7</v>
      </c>
      <c r="Y5" t="s">
        <v>1043</v>
      </c>
      <c r="Z5" s="3">
        <v>2130176000</v>
      </c>
      <c r="AB5" t="s">
        <v>15</v>
      </c>
      <c r="AC5">
        <v>67</v>
      </c>
      <c r="AD5">
        <v>65</v>
      </c>
      <c r="AE5" s="3">
        <v>3225354000</v>
      </c>
    </row>
    <row r="6" spans="1:31">
      <c r="A6" t="s">
        <v>69</v>
      </c>
      <c r="B6" s="2">
        <v>1</v>
      </c>
      <c r="C6">
        <v>2009.28938356164</v>
      </c>
      <c r="E6" t="s">
        <v>237</v>
      </c>
      <c r="F6">
        <v>14064.7688356164</v>
      </c>
      <c r="H6" t="s">
        <v>356</v>
      </c>
      <c r="I6">
        <v>3</v>
      </c>
      <c r="J6">
        <v>5216.35273972603</v>
      </c>
      <c r="L6" t="s">
        <v>65</v>
      </c>
      <c r="M6" t="s">
        <v>66</v>
      </c>
      <c r="N6">
        <v>266.652397260274</v>
      </c>
      <c r="P6" t="s">
        <v>212</v>
      </c>
      <c r="Q6">
        <v>5</v>
      </c>
      <c r="S6" t="s">
        <v>862</v>
      </c>
      <c r="T6" s="3">
        <v>1610268800</v>
      </c>
      <c r="V6" t="s">
        <v>66</v>
      </c>
      <c r="W6">
        <v>7</v>
      </c>
      <c r="Y6" t="s">
        <v>861</v>
      </c>
      <c r="Z6" s="3">
        <v>1610268800</v>
      </c>
      <c r="AB6" t="s">
        <v>44</v>
      </c>
      <c r="AC6">
        <v>204</v>
      </c>
      <c r="AD6">
        <v>196</v>
      </c>
      <c r="AE6" s="3">
        <v>4487652000</v>
      </c>
    </row>
    <row r="7" spans="1:31">
      <c r="A7" t="s">
        <v>72</v>
      </c>
      <c r="B7" s="2">
        <v>1</v>
      </c>
      <c r="C7">
        <v>2472.94520547945</v>
      </c>
      <c r="E7" t="s">
        <v>1083</v>
      </c>
      <c r="F7">
        <v>1275.12842465753</v>
      </c>
      <c r="H7" t="s">
        <v>162</v>
      </c>
      <c r="I7">
        <v>1</v>
      </c>
      <c r="J7">
        <v>3554.83732876712</v>
      </c>
      <c r="L7" t="s">
        <v>69</v>
      </c>
      <c r="M7" t="s">
        <v>67</v>
      </c>
      <c r="N7">
        <v>2009.28938356164</v>
      </c>
      <c r="P7" t="s">
        <v>905</v>
      </c>
      <c r="Q7">
        <v>4</v>
      </c>
      <c r="S7" t="s">
        <v>676</v>
      </c>
      <c r="T7" s="3">
        <v>732926000</v>
      </c>
      <c r="V7" t="s">
        <v>340</v>
      </c>
      <c r="W7">
        <v>6</v>
      </c>
      <c r="Y7" t="s">
        <v>429</v>
      </c>
      <c r="Z7" s="3">
        <v>685989000</v>
      </c>
      <c r="AB7" t="s">
        <v>263</v>
      </c>
      <c r="AC7">
        <v>9</v>
      </c>
      <c r="AD7">
        <v>9</v>
      </c>
      <c r="AE7" s="3">
        <v>139821000</v>
      </c>
    </row>
    <row r="8" spans="1:31">
      <c r="A8" t="s">
        <v>76</v>
      </c>
      <c r="B8" s="2">
        <v>1</v>
      </c>
      <c r="C8">
        <v>4907.2345890411</v>
      </c>
      <c r="E8" t="s">
        <v>744</v>
      </c>
      <c r="F8">
        <v>463.698630136986</v>
      </c>
      <c r="H8" t="s">
        <v>260</v>
      </c>
      <c r="I8">
        <v>2</v>
      </c>
      <c r="J8">
        <v>4714.04109589041</v>
      </c>
      <c r="L8" t="s">
        <v>72</v>
      </c>
      <c r="M8" t="s">
        <v>70</v>
      </c>
      <c r="N8">
        <v>1236.47260273973</v>
      </c>
      <c r="P8" t="s">
        <v>472</v>
      </c>
      <c r="Q8">
        <v>4</v>
      </c>
      <c r="S8" t="s">
        <v>430</v>
      </c>
      <c r="T8" s="3">
        <v>685989000</v>
      </c>
      <c r="V8" t="s">
        <v>738</v>
      </c>
      <c r="W8">
        <v>6</v>
      </c>
      <c r="Y8" t="s">
        <v>220</v>
      </c>
      <c r="Z8" s="3">
        <v>617390000</v>
      </c>
      <c r="AB8" t="s">
        <v>13</v>
      </c>
      <c r="AC8">
        <v>206</v>
      </c>
      <c r="AD8">
        <v>204</v>
      </c>
      <c r="AE8" s="3">
        <v>25040954000</v>
      </c>
    </row>
    <row r="9" spans="1:31">
      <c r="A9" t="s">
        <v>79</v>
      </c>
      <c r="B9" s="2">
        <v>1</v>
      </c>
      <c r="C9">
        <v>533.304794520548</v>
      </c>
      <c r="E9" t="s">
        <v>346</v>
      </c>
      <c r="F9">
        <v>7998.41609589041</v>
      </c>
      <c r="H9" t="s">
        <v>536</v>
      </c>
      <c r="I9">
        <v>1</v>
      </c>
      <c r="J9">
        <v>1352.39726027397</v>
      </c>
      <c r="L9" t="s">
        <v>72</v>
      </c>
      <c r="M9" t="s">
        <v>73</v>
      </c>
      <c r="N9">
        <v>1236.47260273973</v>
      </c>
      <c r="P9" t="s">
        <v>156</v>
      </c>
      <c r="Q9">
        <v>4</v>
      </c>
      <c r="S9" t="s">
        <v>221</v>
      </c>
      <c r="T9" s="3">
        <v>617390000</v>
      </c>
      <c r="V9" t="s">
        <v>105</v>
      </c>
      <c r="W9">
        <v>6</v>
      </c>
      <c r="Y9" t="s">
        <v>1012</v>
      </c>
      <c r="Z9" s="3">
        <v>602949000</v>
      </c>
      <c r="AB9" t="s">
        <v>984</v>
      </c>
      <c r="AC9">
        <v>1</v>
      </c>
      <c r="AD9">
        <v>1</v>
      </c>
      <c r="AE9" s="3">
        <v>11554000</v>
      </c>
    </row>
    <row r="10" spans="1:31">
      <c r="A10" t="s">
        <v>83</v>
      </c>
      <c r="B10" s="2">
        <v>1</v>
      </c>
      <c r="C10">
        <v>266.652397260274</v>
      </c>
      <c r="E10" t="s">
        <v>1024</v>
      </c>
      <c r="F10">
        <v>4404.92294520548</v>
      </c>
      <c r="H10" t="s">
        <v>812</v>
      </c>
      <c r="I10">
        <v>1</v>
      </c>
      <c r="J10">
        <v>1043.27910958904</v>
      </c>
      <c r="L10" t="s">
        <v>76</v>
      </c>
      <c r="M10" t="s">
        <v>74</v>
      </c>
      <c r="N10">
        <v>4907.2345890411</v>
      </c>
      <c r="P10" t="s">
        <v>568</v>
      </c>
      <c r="Q10">
        <v>4</v>
      </c>
      <c r="S10" t="s">
        <v>393</v>
      </c>
      <c r="T10" s="3">
        <v>609900000</v>
      </c>
      <c r="V10" t="s">
        <v>278</v>
      </c>
      <c r="W10">
        <v>6</v>
      </c>
      <c r="Y10" t="s">
        <v>678</v>
      </c>
      <c r="Z10" s="3">
        <v>572260000</v>
      </c>
      <c r="AB10" t="s">
        <v>200</v>
      </c>
      <c r="AC10">
        <v>5</v>
      </c>
      <c r="AD10">
        <v>5</v>
      </c>
      <c r="AE10" s="3">
        <v>260588000</v>
      </c>
    </row>
    <row r="11" spans="1:31">
      <c r="A11" t="s">
        <v>86</v>
      </c>
      <c r="B11" s="2">
        <v>1</v>
      </c>
      <c r="C11">
        <v>266.652397260274</v>
      </c>
      <c r="E11" t="s">
        <v>126</v>
      </c>
      <c r="F11">
        <v>14339.2979452055</v>
      </c>
      <c r="H11" t="s">
        <v>872</v>
      </c>
      <c r="I11">
        <v>1</v>
      </c>
      <c r="J11">
        <v>2009.28938356164</v>
      </c>
      <c r="L11" t="s">
        <v>79</v>
      </c>
      <c r="M11" t="s">
        <v>77</v>
      </c>
      <c r="N11">
        <v>266.652397260274</v>
      </c>
      <c r="P11" t="s">
        <v>607</v>
      </c>
      <c r="Q11">
        <v>3</v>
      </c>
      <c r="S11" t="s">
        <v>1013</v>
      </c>
      <c r="T11" s="3">
        <v>602949000</v>
      </c>
      <c r="V11" t="s">
        <v>165</v>
      </c>
      <c r="W11">
        <v>5</v>
      </c>
      <c r="Y11" t="s">
        <v>229</v>
      </c>
      <c r="Z11" s="3">
        <v>570454000</v>
      </c>
      <c r="AB11" t="s">
        <v>1136</v>
      </c>
      <c r="AC11">
        <v>495</v>
      </c>
      <c r="AD11">
        <v>483</v>
      </c>
      <c r="AE11" s="3">
        <v>34870966800</v>
      </c>
    </row>
    <row r="12" spans="1:31">
      <c r="A12" t="s">
        <v>87</v>
      </c>
      <c r="B12" s="2">
        <v>-1</v>
      </c>
      <c r="C12">
        <v>-266.652397260274</v>
      </c>
      <c r="E12" t="s">
        <v>821</v>
      </c>
      <c r="F12">
        <v>6375.51369863014</v>
      </c>
      <c r="H12" t="s">
        <v>67</v>
      </c>
      <c r="I12">
        <v>1</v>
      </c>
      <c r="J12">
        <v>2009.28938356164</v>
      </c>
      <c r="L12" t="s">
        <v>79</v>
      </c>
      <c r="M12" t="s">
        <v>80</v>
      </c>
      <c r="N12">
        <v>266.652397260274</v>
      </c>
      <c r="P12" t="s">
        <v>414</v>
      </c>
      <c r="Q12">
        <v>3</v>
      </c>
      <c r="S12" t="s">
        <v>747</v>
      </c>
      <c r="T12" s="3">
        <v>505466000</v>
      </c>
      <c r="V12" t="s">
        <v>468</v>
      </c>
      <c r="W12">
        <v>5</v>
      </c>
      <c r="Y12" t="s">
        <v>746</v>
      </c>
      <c r="Z12" s="3">
        <v>505466000</v>
      </c>
    </row>
    <row r="13" spans="1:31">
      <c r="A13" t="s">
        <v>88</v>
      </c>
      <c r="B13" s="2">
        <v>-1</v>
      </c>
      <c r="C13">
        <v>-266.652397260274</v>
      </c>
      <c r="E13" t="s">
        <v>1101</v>
      </c>
      <c r="F13">
        <v>2357.02054794521</v>
      </c>
      <c r="H13" t="s">
        <v>669</v>
      </c>
      <c r="I13">
        <v>1</v>
      </c>
      <c r="J13">
        <v>8577.95376712329</v>
      </c>
      <c r="L13" t="s">
        <v>83</v>
      </c>
      <c r="M13" t="s">
        <v>81</v>
      </c>
      <c r="N13">
        <v>266.652397260274</v>
      </c>
      <c r="P13" t="s">
        <v>103</v>
      </c>
      <c r="Q13">
        <v>3</v>
      </c>
      <c r="S13" t="s">
        <v>828</v>
      </c>
      <c r="T13" s="3">
        <v>478388000</v>
      </c>
      <c r="V13" t="s">
        <v>243</v>
      </c>
      <c r="W13">
        <v>4</v>
      </c>
      <c r="Y13" t="s">
        <v>944</v>
      </c>
      <c r="Z13" s="3">
        <v>388126000</v>
      </c>
    </row>
    <row r="14" spans="1:31">
      <c r="A14" t="s">
        <v>90</v>
      </c>
      <c r="B14" s="2">
        <v>1</v>
      </c>
      <c r="C14">
        <v>266.652397260274</v>
      </c>
      <c r="E14" t="s">
        <v>393</v>
      </c>
      <c r="F14">
        <v>26108.7328767123</v>
      </c>
      <c r="H14" t="s">
        <v>939</v>
      </c>
      <c r="I14">
        <v>1</v>
      </c>
      <c r="J14">
        <v>2704.79452054795</v>
      </c>
      <c r="L14" t="s">
        <v>86</v>
      </c>
      <c r="M14" t="s">
        <v>84</v>
      </c>
      <c r="N14">
        <v>266.652397260274</v>
      </c>
      <c r="P14" t="s">
        <v>181</v>
      </c>
      <c r="Q14">
        <v>3</v>
      </c>
      <c r="S14" t="s">
        <v>1136</v>
      </c>
      <c r="T14" s="3">
        <v>12142640800</v>
      </c>
      <c r="V14" t="s">
        <v>918</v>
      </c>
      <c r="W14">
        <v>4</v>
      </c>
      <c r="Y14" t="s">
        <v>1136</v>
      </c>
      <c r="Z14" s="3">
        <v>11780959800</v>
      </c>
    </row>
    <row r="15" ht="15.6" spans="1:31">
      <c r="A15" t="s">
        <v>93</v>
      </c>
      <c r="B15" s="2">
        <v>1</v>
      </c>
      <c r="C15">
        <v>3632.14897260274</v>
      </c>
      <c r="E15" t="s">
        <v>667</v>
      </c>
      <c r="F15">
        <v>10896.3613013699</v>
      </c>
      <c r="H15" t="s">
        <v>954</v>
      </c>
      <c r="I15">
        <v>1</v>
      </c>
      <c r="J15">
        <v>3554.83732876712</v>
      </c>
      <c r="L15" t="s">
        <v>87</v>
      </c>
      <c r="M15" t="s">
        <v>81</v>
      </c>
      <c r="N15">
        <v>-266.652397260274</v>
      </c>
      <c r="P15" t="s">
        <v>171</v>
      </c>
      <c r="Q15">
        <v>3</v>
      </c>
      <c r="V15" t="s">
        <v>1136</v>
      </c>
      <c r="W15">
        <v>66</v>
      </c>
      <c r="AB15" s="4"/>
      <c r="AC15" s="5"/>
      <c r="AD15" s="5"/>
    </row>
    <row r="16" ht="15.6" spans="1:31">
      <c r="A16" t="s">
        <v>96</v>
      </c>
      <c r="B16" s="2">
        <v>1</v>
      </c>
      <c r="C16">
        <v>2704.79452054795</v>
      </c>
      <c r="E16" t="s">
        <v>806</v>
      </c>
      <c r="F16">
        <v>4211.72945205479</v>
      </c>
      <c r="H16" t="s">
        <v>770</v>
      </c>
      <c r="I16">
        <v>1</v>
      </c>
      <c r="J16">
        <v>2163.82705479452</v>
      </c>
      <c r="L16" t="s">
        <v>88</v>
      </c>
      <c r="M16" t="s">
        <v>84</v>
      </c>
      <c r="N16">
        <v>-266.652397260274</v>
      </c>
      <c r="P16" t="s">
        <v>196</v>
      </c>
      <c r="Q16">
        <v>3</v>
      </c>
      <c r="AB16" s="4"/>
      <c r="AC16" s="5"/>
      <c r="AD16" s="5"/>
    </row>
    <row r="17" ht="15.6" spans="1:30">
      <c r="A17" t="s">
        <v>97</v>
      </c>
      <c r="B17" s="2">
        <v>1</v>
      </c>
      <c r="C17">
        <v>266.652397260274</v>
      </c>
      <c r="E17" t="s">
        <v>178</v>
      </c>
      <c r="F17">
        <v>583.47602739726</v>
      </c>
      <c r="H17" t="s">
        <v>318</v>
      </c>
      <c r="I17">
        <v>2</v>
      </c>
      <c r="J17">
        <v>5873.20205479452</v>
      </c>
      <c r="L17" t="s">
        <v>90</v>
      </c>
      <c r="M17" t="s">
        <v>77</v>
      </c>
      <c r="N17">
        <v>266.652397260274</v>
      </c>
      <c r="P17" t="s">
        <v>1030</v>
      </c>
      <c r="Q17">
        <v>3</v>
      </c>
      <c r="AB17" s="4"/>
      <c r="AC17" s="5"/>
      <c r="AD17" s="5"/>
    </row>
    <row r="18" ht="15.6" spans="1:30">
      <c r="A18" t="s">
        <v>98</v>
      </c>
      <c r="B18" s="2">
        <v>1</v>
      </c>
      <c r="C18">
        <v>266.652397260274</v>
      </c>
      <c r="E18" t="s">
        <v>771</v>
      </c>
      <c r="F18">
        <v>2163.82705479452</v>
      </c>
      <c r="H18" t="s">
        <v>659</v>
      </c>
      <c r="I18">
        <v>3</v>
      </c>
      <c r="J18">
        <v>11823.6729452055</v>
      </c>
      <c r="L18" t="s">
        <v>93</v>
      </c>
      <c r="M18" t="s">
        <v>91</v>
      </c>
      <c r="N18">
        <v>2434.28938356164</v>
      </c>
      <c r="P18" t="s">
        <v>438</v>
      </c>
      <c r="Q18">
        <v>3</v>
      </c>
      <c r="AB18" s="4"/>
      <c r="AC18" s="5"/>
      <c r="AD18" s="5"/>
    </row>
    <row r="19" spans="1:30">
      <c r="A19" t="s">
        <v>101</v>
      </c>
      <c r="B19" s="2">
        <v>1</v>
      </c>
      <c r="C19">
        <v>1120.54794520548</v>
      </c>
      <c r="E19" t="s">
        <v>614</v>
      </c>
      <c r="F19">
        <v>595.119863013699</v>
      </c>
      <c r="H19" t="s">
        <v>268</v>
      </c>
      <c r="I19">
        <v>3</v>
      </c>
      <c r="J19">
        <v>11823.6729452055</v>
      </c>
      <c r="L19" t="s">
        <v>93</v>
      </c>
      <c r="M19" t="s">
        <v>94</v>
      </c>
      <c r="N19">
        <v>1197.8595890411</v>
      </c>
      <c r="P19" t="s">
        <v>247</v>
      </c>
      <c r="Q19">
        <v>3</v>
      </c>
    </row>
    <row r="20" spans="1:30">
      <c r="A20" t="s">
        <v>104</v>
      </c>
      <c r="B20" s="2">
        <v>1</v>
      </c>
      <c r="C20">
        <v>4335.44520547945</v>
      </c>
      <c r="E20" t="s">
        <v>276</v>
      </c>
      <c r="F20">
        <v>1124.44349315068</v>
      </c>
      <c r="H20" t="s">
        <v>844</v>
      </c>
      <c r="I20">
        <v>1</v>
      </c>
      <c r="J20">
        <v>2434.28938356164</v>
      </c>
      <c r="L20" t="s">
        <v>96</v>
      </c>
      <c r="M20" t="s">
        <v>95</v>
      </c>
      <c r="N20">
        <v>2704.79452054795</v>
      </c>
      <c r="P20" t="s">
        <v>379</v>
      </c>
      <c r="Q20">
        <v>3</v>
      </c>
    </row>
    <row r="21" spans="1:30">
      <c r="A21" t="s">
        <v>108</v>
      </c>
      <c r="B21" s="2">
        <v>1</v>
      </c>
      <c r="C21">
        <v>266.652397260274</v>
      </c>
      <c r="E21" t="s">
        <v>227</v>
      </c>
      <c r="F21">
        <v>17078.6815068493</v>
      </c>
      <c r="H21" t="s">
        <v>838</v>
      </c>
      <c r="I21">
        <v>1</v>
      </c>
      <c r="J21">
        <v>2434.28938356164</v>
      </c>
      <c r="L21" t="s">
        <v>97</v>
      </c>
      <c r="M21" t="s">
        <v>81</v>
      </c>
      <c r="N21">
        <v>266.652397260274</v>
      </c>
      <c r="P21" t="s">
        <v>443</v>
      </c>
      <c r="Q21">
        <v>3</v>
      </c>
    </row>
    <row r="22" spans="1:30">
      <c r="A22" t="s">
        <v>111</v>
      </c>
      <c r="B22" s="2">
        <v>1</v>
      </c>
      <c r="C22">
        <v>112.071917808219</v>
      </c>
      <c r="E22" t="s">
        <v>928</v>
      </c>
      <c r="F22">
        <v>297.559931506849</v>
      </c>
      <c r="H22" t="s">
        <v>823</v>
      </c>
      <c r="I22">
        <v>1</v>
      </c>
      <c r="J22">
        <v>2434.28938356164</v>
      </c>
      <c r="L22" t="s">
        <v>98</v>
      </c>
      <c r="M22" t="s">
        <v>84</v>
      </c>
      <c r="N22">
        <v>266.652397260274</v>
      </c>
      <c r="P22" t="s">
        <v>698</v>
      </c>
      <c r="Q22">
        <v>3</v>
      </c>
    </row>
    <row r="23" spans="1:30">
      <c r="A23" t="s">
        <v>114</v>
      </c>
      <c r="B23" s="2">
        <v>1</v>
      </c>
      <c r="C23">
        <v>1738.78424657534</v>
      </c>
      <c r="E23" t="s">
        <v>1007</v>
      </c>
      <c r="F23">
        <v>1159.20376712329</v>
      </c>
      <c r="H23" t="s">
        <v>149</v>
      </c>
      <c r="I23">
        <v>1</v>
      </c>
      <c r="J23">
        <v>2434.28938356164</v>
      </c>
      <c r="L23" t="s">
        <v>101</v>
      </c>
      <c r="M23" t="s">
        <v>99</v>
      </c>
      <c r="N23">
        <v>1120.54794520548</v>
      </c>
      <c r="P23" t="s">
        <v>240</v>
      </c>
      <c r="Q23">
        <v>3</v>
      </c>
    </row>
    <row r="24" spans="1:30">
      <c r="A24" t="s">
        <v>117</v>
      </c>
      <c r="B24" s="2">
        <v>1</v>
      </c>
      <c r="C24">
        <v>2086.55821917808</v>
      </c>
      <c r="E24" t="s">
        <v>223</v>
      </c>
      <c r="F24">
        <v>6591.95205479452</v>
      </c>
      <c r="H24" t="s">
        <v>930</v>
      </c>
      <c r="I24">
        <v>1</v>
      </c>
      <c r="J24">
        <v>2434.28938356164</v>
      </c>
      <c r="L24" t="s">
        <v>104</v>
      </c>
      <c r="M24" t="s">
        <v>102</v>
      </c>
      <c r="N24">
        <v>3709.41780821918</v>
      </c>
      <c r="P24" t="s">
        <v>828</v>
      </c>
      <c r="Q24">
        <v>3</v>
      </c>
    </row>
    <row r="25" spans="1:30">
      <c r="A25" t="s">
        <v>120</v>
      </c>
      <c r="B25" s="2">
        <v>1</v>
      </c>
      <c r="C25">
        <v>2704.83732876712</v>
      </c>
      <c r="E25" t="s">
        <v>234</v>
      </c>
      <c r="F25">
        <v>2782.06335616438</v>
      </c>
      <c r="H25" t="s">
        <v>879</v>
      </c>
      <c r="I25">
        <v>1</v>
      </c>
      <c r="J25">
        <v>2434.28938356164</v>
      </c>
      <c r="L25" t="s">
        <v>104</v>
      </c>
      <c r="M25" t="s">
        <v>105</v>
      </c>
      <c r="N25">
        <v>370.97602739726</v>
      </c>
      <c r="P25" t="s">
        <v>227</v>
      </c>
      <c r="Q25">
        <v>3</v>
      </c>
    </row>
    <row r="26" spans="1:30">
      <c r="A26" t="s">
        <v>124</v>
      </c>
      <c r="B26" s="2">
        <v>1</v>
      </c>
      <c r="C26">
        <v>231.849315068493</v>
      </c>
      <c r="E26" t="s">
        <v>607</v>
      </c>
      <c r="F26">
        <v>7766.6095890411</v>
      </c>
      <c r="H26" t="s">
        <v>1090</v>
      </c>
      <c r="I26">
        <v>1</v>
      </c>
      <c r="J26">
        <v>2434.28938356164</v>
      </c>
      <c r="L26" t="s">
        <v>104</v>
      </c>
      <c r="M26" t="s">
        <v>106</v>
      </c>
      <c r="N26">
        <v>255.051369863014</v>
      </c>
      <c r="P26" t="s">
        <v>858</v>
      </c>
      <c r="Q26">
        <v>3</v>
      </c>
    </row>
    <row r="27" spans="1:30">
      <c r="A27" t="s">
        <v>127</v>
      </c>
      <c r="B27" s="2">
        <v>1</v>
      </c>
      <c r="C27">
        <v>7727.99657534247</v>
      </c>
      <c r="E27" t="s">
        <v>1098</v>
      </c>
      <c r="F27">
        <v>332.320205479452</v>
      </c>
      <c r="H27" t="s">
        <v>851</v>
      </c>
      <c r="I27">
        <v>1</v>
      </c>
      <c r="J27">
        <v>5177.69691780822</v>
      </c>
      <c r="L27" t="s">
        <v>108</v>
      </c>
      <c r="M27" t="s">
        <v>66</v>
      </c>
      <c r="N27">
        <v>266.652397260274</v>
      </c>
      <c r="P27" t="s">
        <v>393</v>
      </c>
      <c r="Q27">
        <v>3</v>
      </c>
    </row>
    <row r="28" spans="1:30">
      <c r="A28" t="s">
        <v>133</v>
      </c>
      <c r="B28" s="2">
        <v>1</v>
      </c>
      <c r="C28">
        <v>266.652397260274</v>
      </c>
      <c r="E28" t="s">
        <v>747</v>
      </c>
      <c r="F28">
        <v>21638.0993150685</v>
      </c>
      <c r="H28" t="s">
        <v>1026</v>
      </c>
      <c r="I28">
        <v>1</v>
      </c>
      <c r="J28">
        <v>2550.21404109589</v>
      </c>
      <c r="L28" t="s">
        <v>111</v>
      </c>
      <c r="M28" t="s">
        <v>109</v>
      </c>
      <c r="N28">
        <v>112.071917808219</v>
      </c>
      <c r="P28" t="s">
        <v>202</v>
      </c>
      <c r="Q28">
        <v>3</v>
      </c>
    </row>
    <row r="29" spans="1:30">
      <c r="A29" t="s">
        <v>136</v>
      </c>
      <c r="B29" s="2">
        <v>1</v>
      </c>
      <c r="C29">
        <v>494.606164383562</v>
      </c>
      <c r="E29" t="s">
        <v>701</v>
      </c>
      <c r="F29">
        <v>4907.2345890411</v>
      </c>
      <c r="H29" t="s">
        <v>125</v>
      </c>
      <c r="I29">
        <v>1</v>
      </c>
      <c r="J29">
        <v>3284.375</v>
      </c>
      <c r="L29" t="s">
        <v>114</v>
      </c>
      <c r="M29" t="s">
        <v>112</v>
      </c>
      <c r="N29">
        <v>1738.78424657534</v>
      </c>
      <c r="P29" t="s">
        <v>506</v>
      </c>
      <c r="Q29">
        <v>3</v>
      </c>
    </row>
    <row r="30" spans="1:30">
      <c r="A30" t="s">
        <v>139</v>
      </c>
      <c r="B30" s="2">
        <v>1</v>
      </c>
      <c r="C30">
        <v>757.405821917808</v>
      </c>
      <c r="E30" t="s">
        <v>624</v>
      </c>
      <c r="F30">
        <v>2357.06335616438</v>
      </c>
      <c r="H30" t="s">
        <v>609</v>
      </c>
      <c r="I30">
        <v>1</v>
      </c>
      <c r="J30">
        <v>4288.99828767123</v>
      </c>
      <c r="L30" t="s">
        <v>117</v>
      </c>
      <c r="M30" t="s">
        <v>115</v>
      </c>
      <c r="N30">
        <v>2086.55821917808</v>
      </c>
      <c r="P30" t="s">
        <v>1136</v>
      </c>
      <c r="Q30">
        <v>94</v>
      </c>
    </row>
    <row r="31" spans="1:30">
      <c r="A31" t="s">
        <v>142</v>
      </c>
      <c r="B31" s="2">
        <v>1</v>
      </c>
      <c r="C31">
        <v>231.849315068493</v>
      </c>
      <c r="E31" t="s">
        <v>760</v>
      </c>
      <c r="F31">
        <v>7650.64212328767</v>
      </c>
      <c r="H31" t="s">
        <v>204</v>
      </c>
      <c r="I31">
        <v>1</v>
      </c>
      <c r="J31">
        <v>5409.54623287671</v>
      </c>
      <c r="L31" t="s">
        <v>120</v>
      </c>
      <c r="M31" t="s">
        <v>118</v>
      </c>
      <c r="N31">
        <v>1506.97773972603</v>
      </c>
    </row>
    <row r="32" spans="1:30">
      <c r="A32" t="s">
        <v>145</v>
      </c>
      <c r="B32" s="2">
        <v>1</v>
      </c>
      <c r="C32">
        <v>1584.24657534247</v>
      </c>
      <c r="E32" t="s">
        <v>326</v>
      </c>
      <c r="F32">
        <v>266.652397260274</v>
      </c>
      <c r="H32" t="s">
        <v>596</v>
      </c>
      <c r="I32">
        <v>1</v>
      </c>
      <c r="J32">
        <v>3091.18150684932</v>
      </c>
      <c r="L32" t="s">
        <v>120</v>
      </c>
      <c r="M32" t="s">
        <v>121</v>
      </c>
      <c r="N32">
        <v>1197.8595890411</v>
      </c>
    </row>
    <row r="33" spans="1:14">
      <c r="A33" t="s">
        <v>148</v>
      </c>
      <c r="B33" s="2">
        <v>1</v>
      </c>
      <c r="C33">
        <v>1545.59075342466</v>
      </c>
      <c r="E33" t="s">
        <v>687</v>
      </c>
      <c r="F33">
        <v>297.559931506849</v>
      </c>
      <c r="H33" t="s">
        <v>918</v>
      </c>
      <c r="I33">
        <v>4</v>
      </c>
      <c r="J33">
        <v>11746.404109589</v>
      </c>
      <c r="L33" t="s">
        <v>124</v>
      </c>
      <c r="M33" t="s">
        <v>122</v>
      </c>
      <c r="N33">
        <v>231.849315068493</v>
      </c>
    </row>
    <row r="34" spans="1:14">
      <c r="A34" t="s">
        <v>151</v>
      </c>
      <c r="B34" s="2">
        <v>1</v>
      </c>
      <c r="C34">
        <v>2434.28938356164</v>
      </c>
      <c r="E34" t="s">
        <v>604</v>
      </c>
      <c r="F34">
        <v>297.559931506849</v>
      </c>
      <c r="H34" t="s">
        <v>634</v>
      </c>
      <c r="I34">
        <v>1</v>
      </c>
      <c r="J34">
        <v>3323.03082191781</v>
      </c>
      <c r="L34" t="s">
        <v>127</v>
      </c>
      <c r="M34" t="s">
        <v>125</v>
      </c>
      <c r="N34">
        <v>3284.375</v>
      </c>
    </row>
    <row r="35" spans="1:14">
      <c r="A35" t="s">
        <v>154</v>
      </c>
      <c r="B35" s="2">
        <v>1</v>
      </c>
      <c r="C35">
        <v>1120.54794520548</v>
      </c>
      <c r="E35" t="s">
        <v>261</v>
      </c>
      <c r="F35">
        <v>2357.02054794521</v>
      </c>
      <c r="H35" t="s">
        <v>988</v>
      </c>
      <c r="I35">
        <v>1</v>
      </c>
      <c r="J35">
        <v>3323.03082191781</v>
      </c>
      <c r="L35" t="s">
        <v>127</v>
      </c>
      <c r="M35" t="s">
        <v>105</v>
      </c>
      <c r="N35">
        <v>370.97602739726</v>
      </c>
    </row>
    <row r="36" spans="1:14">
      <c r="A36" t="s">
        <v>157</v>
      </c>
      <c r="B36" s="2">
        <v>1</v>
      </c>
      <c r="C36">
        <v>6800.55650684932</v>
      </c>
      <c r="E36" t="s">
        <v>952</v>
      </c>
      <c r="F36">
        <v>285.958904109589</v>
      </c>
      <c r="H36" t="s">
        <v>640</v>
      </c>
      <c r="I36">
        <v>2</v>
      </c>
      <c r="J36">
        <v>9814.46917808219</v>
      </c>
      <c r="L36" t="s">
        <v>127</v>
      </c>
      <c r="M36" t="s">
        <v>128</v>
      </c>
      <c r="N36">
        <v>3438.91267123288</v>
      </c>
    </row>
    <row r="37" spans="1:14">
      <c r="A37" t="s">
        <v>161</v>
      </c>
      <c r="B37" s="2">
        <v>1</v>
      </c>
      <c r="C37">
        <v>231.849315068493</v>
      </c>
      <c r="E37" t="s">
        <v>438</v>
      </c>
      <c r="F37">
        <v>4837.71404109589</v>
      </c>
      <c r="H37" t="s">
        <v>892</v>
      </c>
      <c r="I37">
        <v>2</v>
      </c>
      <c r="J37">
        <v>9814.46917808219</v>
      </c>
      <c r="L37" t="s">
        <v>127</v>
      </c>
      <c r="M37" t="s">
        <v>129</v>
      </c>
      <c r="N37">
        <v>316.866438356164</v>
      </c>
    </row>
    <row r="38" spans="1:14">
      <c r="A38" t="s">
        <v>164</v>
      </c>
      <c r="B38" s="2">
        <v>1</v>
      </c>
      <c r="C38">
        <v>6823.80136986301</v>
      </c>
      <c r="E38" t="s">
        <v>828</v>
      </c>
      <c r="F38">
        <v>20478.9383561644</v>
      </c>
      <c r="H38" t="s">
        <v>959</v>
      </c>
      <c r="I38">
        <v>1</v>
      </c>
      <c r="J38">
        <v>3438.91267123288</v>
      </c>
      <c r="L38" t="s">
        <v>127</v>
      </c>
      <c r="M38" t="s">
        <v>130</v>
      </c>
      <c r="N38">
        <v>316.866438356164</v>
      </c>
    </row>
    <row r="39" spans="1:14">
      <c r="A39" t="s">
        <v>168</v>
      </c>
      <c r="B39" s="2">
        <v>1</v>
      </c>
      <c r="C39">
        <v>2975.29965753425</v>
      </c>
      <c r="E39" t="s">
        <v>163</v>
      </c>
      <c r="F39">
        <v>14721.7465753425</v>
      </c>
      <c r="H39" t="s">
        <v>352</v>
      </c>
      <c r="I39">
        <v>1</v>
      </c>
      <c r="J39">
        <v>3438.91267123288</v>
      </c>
      <c r="L39" t="s">
        <v>133</v>
      </c>
      <c r="M39" t="s">
        <v>131</v>
      </c>
      <c r="N39">
        <v>266.652397260274</v>
      </c>
    </row>
    <row r="40" spans="1:14">
      <c r="A40" t="s">
        <v>172</v>
      </c>
      <c r="B40" s="2">
        <v>1</v>
      </c>
      <c r="C40">
        <v>3709.41780821918</v>
      </c>
      <c r="E40" t="s">
        <v>750</v>
      </c>
      <c r="F40">
        <v>3168.45034246575</v>
      </c>
      <c r="H40" t="s">
        <v>616</v>
      </c>
      <c r="I40">
        <v>1</v>
      </c>
      <c r="J40">
        <v>2434.28938356164</v>
      </c>
      <c r="L40" t="s">
        <v>136</v>
      </c>
      <c r="M40" t="s">
        <v>134</v>
      </c>
      <c r="N40">
        <v>494.606164383562</v>
      </c>
    </row>
    <row r="41" spans="1:14">
      <c r="A41" t="s">
        <v>176</v>
      </c>
      <c r="B41" s="2">
        <v>1</v>
      </c>
      <c r="C41">
        <v>529.366438356164</v>
      </c>
      <c r="E41" t="s">
        <v>313</v>
      </c>
      <c r="F41">
        <v>266.652397260274</v>
      </c>
      <c r="H41" t="s">
        <v>432</v>
      </c>
      <c r="I41">
        <v>2</v>
      </c>
      <c r="J41">
        <v>4868.57876712329</v>
      </c>
      <c r="L41" t="s">
        <v>139</v>
      </c>
      <c r="M41" t="s">
        <v>137</v>
      </c>
      <c r="N41">
        <v>490.753424657534</v>
      </c>
    </row>
    <row r="42" spans="1:14">
      <c r="A42" t="s">
        <v>179</v>
      </c>
      <c r="B42" s="2">
        <v>1</v>
      </c>
      <c r="C42">
        <v>583.47602739726</v>
      </c>
      <c r="E42" t="s">
        <v>156</v>
      </c>
      <c r="F42">
        <v>13562.5</v>
      </c>
      <c r="H42" t="s">
        <v>740</v>
      </c>
      <c r="I42">
        <v>2</v>
      </c>
      <c r="J42">
        <v>4868.57876712329</v>
      </c>
      <c r="L42" t="s">
        <v>139</v>
      </c>
      <c r="M42" t="s">
        <v>140</v>
      </c>
      <c r="N42">
        <v>266.652397260274</v>
      </c>
    </row>
    <row r="43" spans="1:14">
      <c r="A43" t="s">
        <v>182</v>
      </c>
      <c r="B43" s="2">
        <v>1</v>
      </c>
      <c r="C43">
        <v>2511.60102739726</v>
      </c>
      <c r="E43" t="s">
        <v>181</v>
      </c>
      <c r="F43">
        <v>4868.62157534247</v>
      </c>
      <c r="H43" t="s">
        <v>91</v>
      </c>
      <c r="I43">
        <v>1</v>
      </c>
      <c r="J43">
        <v>2434.28938356164</v>
      </c>
      <c r="L43" t="s">
        <v>142</v>
      </c>
      <c r="M43" t="s">
        <v>60</v>
      </c>
      <c r="N43">
        <v>231.849315068493</v>
      </c>
    </row>
    <row r="44" spans="1:14">
      <c r="A44" t="s">
        <v>184</v>
      </c>
      <c r="B44" s="2">
        <v>1</v>
      </c>
      <c r="C44">
        <v>2086.55821917808</v>
      </c>
      <c r="E44" t="s">
        <v>676</v>
      </c>
      <c r="F44">
        <v>31375.2568493151</v>
      </c>
      <c r="H44" t="s">
        <v>1064</v>
      </c>
      <c r="I44">
        <v>1</v>
      </c>
      <c r="J44">
        <v>2434.28938356164</v>
      </c>
      <c r="L44" t="s">
        <v>145</v>
      </c>
      <c r="M44" t="s">
        <v>143</v>
      </c>
      <c r="N44">
        <v>1584.24657534247</v>
      </c>
    </row>
    <row r="45" spans="1:14">
      <c r="A45" t="s">
        <v>187</v>
      </c>
      <c r="B45" s="2">
        <v>1</v>
      </c>
      <c r="C45">
        <v>347.77397260274</v>
      </c>
      <c r="E45" t="s">
        <v>868</v>
      </c>
      <c r="F45">
        <v>629.837328767123</v>
      </c>
      <c r="H45" t="s">
        <v>643</v>
      </c>
      <c r="I45">
        <v>2</v>
      </c>
      <c r="J45">
        <v>4868.57876712329</v>
      </c>
      <c r="L45" t="s">
        <v>148</v>
      </c>
      <c r="M45" t="s">
        <v>146</v>
      </c>
      <c r="N45">
        <v>1545.59075342466</v>
      </c>
    </row>
    <row r="46" spans="1:14">
      <c r="A46" t="s">
        <v>190</v>
      </c>
      <c r="B46" s="2">
        <v>1</v>
      </c>
      <c r="C46">
        <v>1043.27910958904</v>
      </c>
      <c r="E46" t="s">
        <v>752</v>
      </c>
      <c r="F46">
        <v>297.559931506849</v>
      </c>
      <c r="H46" t="s">
        <v>539</v>
      </c>
      <c r="I46">
        <v>1</v>
      </c>
      <c r="J46">
        <v>1622.8595890411</v>
      </c>
      <c r="L46" t="s">
        <v>151</v>
      </c>
      <c r="M46" t="s">
        <v>149</v>
      </c>
      <c r="N46">
        <v>2434.28938356164</v>
      </c>
    </row>
    <row r="47" spans="1:14">
      <c r="A47" t="s">
        <v>192</v>
      </c>
      <c r="B47" s="2">
        <v>1</v>
      </c>
      <c r="C47">
        <v>1043.27910958904</v>
      </c>
      <c r="E47" t="s">
        <v>1124</v>
      </c>
      <c r="F47">
        <v>175422.988013699</v>
      </c>
      <c r="H47" t="s">
        <v>991</v>
      </c>
      <c r="I47">
        <v>1</v>
      </c>
      <c r="J47">
        <v>1622.8595890411</v>
      </c>
      <c r="L47" t="s">
        <v>154</v>
      </c>
      <c r="M47" t="s">
        <v>152</v>
      </c>
      <c r="N47">
        <v>1120.54794520548</v>
      </c>
    </row>
    <row r="48" spans="1:14">
      <c r="A48" t="s">
        <v>194</v>
      </c>
      <c r="B48" s="2">
        <v>1</v>
      </c>
      <c r="C48">
        <v>490.753424657534</v>
      </c>
      <c r="E48" t="s">
        <v>123</v>
      </c>
      <c r="F48">
        <v>231.849315068493</v>
      </c>
      <c r="H48" t="s">
        <v>118</v>
      </c>
      <c r="I48">
        <v>2</v>
      </c>
      <c r="J48">
        <v>3013.95547945205</v>
      </c>
      <c r="L48" t="s">
        <v>157</v>
      </c>
      <c r="M48" t="s">
        <v>155</v>
      </c>
      <c r="N48">
        <v>2357.02054794521</v>
      </c>
    </row>
    <row r="49" spans="1:14">
      <c r="A49" t="s">
        <v>197</v>
      </c>
      <c r="B49" s="2">
        <v>1</v>
      </c>
      <c r="C49">
        <v>5911.90068493151</v>
      </c>
      <c r="E49" t="s">
        <v>800</v>
      </c>
      <c r="F49">
        <v>3338.4845890411</v>
      </c>
      <c r="H49" t="s">
        <v>656</v>
      </c>
      <c r="I49">
        <v>1</v>
      </c>
      <c r="J49">
        <v>6336.90068493151</v>
      </c>
      <c r="L49" t="s">
        <v>157</v>
      </c>
      <c r="M49" t="s">
        <v>158</v>
      </c>
      <c r="N49">
        <v>4443.53595890411</v>
      </c>
    </row>
    <row r="50" spans="1:14">
      <c r="A50" t="s">
        <v>203</v>
      </c>
      <c r="B50" s="2">
        <v>1</v>
      </c>
      <c r="C50">
        <v>490.753424657534</v>
      </c>
      <c r="E50" t="s">
        <v>196</v>
      </c>
      <c r="F50">
        <v>5911.90068493151</v>
      </c>
      <c r="H50" t="s">
        <v>63</v>
      </c>
      <c r="I50">
        <v>1</v>
      </c>
      <c r="J50">
        <v>1661.5154109589</v>
      </c>
      <c r="L50" t="s">
        <v>161</v>
      </c>
      <c r="M50" t="s">
        <v>159</v>
      </c>
      <c r="N50">
        <v>231.849315068493</v>
      </c>
    </row>
    <row r="51" spans="1:14">
      <c r="A51" t="s">
        <v>206</v>
      </c>
      <c r="B51" s="2">
        <v>1</v>
      </c>
      <c r="C51">
        <v>6761.94349315068</v>
      </c>
      <c r="E51" t="s">
        <v>791</v>
      </c>
      <c r="F51">
        <v>2434.28938356164</v>
      </c>
      <c r="H51" t="s">
        <v>827</v>
      </c>
      <c r="I51">
        <v>1</v>
      </c>
      <c r="J51">
        <v>7032.40582191781</v>
      </c>
      <c r="L51" t="s">
        <v>164</v>
      </c>
      <c r="M51" t="s">
        <v>162</v>
      </c>
      <c r="N51">
        <v>3554.83732876712</v>
      </c>
    </row>
    <row r="52" spans="1:14">
      <c r="A52" t="s">
        <v>210</v>
      </c>
      <c r="B52" s="2">
        <v>1</v>
      </c>
      <c r="C52">
        <v>850.085616438356</v>
      </c>
      <c r="E52" t="s">
        <v>531</v>
      </c>
      <c r="F52">
        <v>6143.70719178082</v>
      </c>
      <c r="H52" t="s">
        <v>383</v>
      </c>
      <c r="I52">
        <v>1</v>
      </c>
      <c r="J52">
        <v>645.291095890411</v>
      </c>
      <c r="L52" t="s">
        <v>164</v>
      </c>
      <c r="M52" t="s">
        <v>165</v>
      </c>
      <c r="N52">
        <v>370.97602739726</v>
      </c>
    </row>
    <row r="53" spans="1:14">
      <c r="A53" t="s">
        <v>213</v>
      </c>
      <c r="B53" s="2">
        <v>1</v>
      </c>
      <c r="C53">
        <v>6530.09417808219</v>
      </c>
      <c r="E53" t="s">
        <v>657</v>
      </c>
      <c r="F53">
        <v>6738.78424657534</v>
      </c>
      <c r="H53" t="s">
        <v>442</v>
      </c>
      <c r="I53">
        <v>1</v>
      </c>
      <c r="J53">
        <v>738.013698630137</v>
      </c>
      <c r="L53" t="s">
        <v>164</v>
      </c>
      <c r="M53" t="s">
        <v>166</v>
      </c>
      <c r="N53">
        <v>2897.98801369863</v>
      </c>
    </row>
    <row r="54" spans="1:14">
      <c r="A54" t="s">
        <v>218</v>
      </c>
      <c r="B54" s="2">
        <v>1</v>
      </c>
      <c r="C54">
        <v>4057.14897260274</v>
      </c>
      <c r="E54" t="s">
        <v>452</v>
      </c>
      <c r="F54">
        <v>6955.13698630137</v>
      </c>
      <c r="H54" t="s">
        <v>956</v>
      </c>
      <c r="I54">
        <v>1</v>
      </c>
      <c r="J54">
        <v>2086.55821917808</v>
      </c>
      <c r="L54" t="s">
        <v>168</v>
      </c>
      <c r="M54" t="s">
        <v>118</v>
      </c>
      <c r="N54">
        <v>1506.97773972603</v>
      </c>
    </row>
    <row r="55" spans="1:14">
      <c r="A55" t="s">
        <v>222</v>
      </c>
      <c r="B55" s="2">
        <v>1</v>
      </c>
      <c r="C55">
        <v>26429.3664383562</v>
      </c>
      <c r="E55" t="s">
        <v>491</v>
      </c>
      <c r="F55">
        <v>2704.79452054795</v>
      </c>
      <c r="H55" t="s">
        <v>973</v>
      </c>
      <c r="I55">
        <v>2</v>
      </c>
      <c r="J55">
        <v>4173.11643835616</v>
      </c>
      <c r="L55" t="s">
        <v>168</v>
      </c>
      <c r="M55" t="s">
        <v>169</v>
      </c>
      <c r="N55">
        <v>1468.32191780822</v>
      </c>
    </row>
    <row r="56" spans="1:14">
      <c r="A56" t="s">
        <v>224</v>
      </c>
      <c r="B56" s="2">
        <v>1</v>
      </c>
      <c r="C56">
        <v>6591.95205479452</v>
      </c>
      <c r="E56" t="s">
        <v>715</v>
      </c>
      <c r="F56">
        <v>5204.79452054795</v>
      </c>
      <c r="H56" t="s">
        <v>567</v>
      </c>
      <c r="I56">
        <v>2</v>
      </c>
      <c r="J56">
        <v>4173.11643835616</v>
      </c>
      <c r="L56" t="s">
        <v>172</v>
      </c>
      <c r="M56" t="s">
        <v>170</v>
      </c>
      <c r="N56">
        <v>1854.70890410959</v>
      </c>
    </row>
    <row r="57" spans="1:14">
      <c r="A57" t="s">
        <v>228</v>
      </c>
      <c r="B57" s="2">
        <v>1</v>
      </c>
      <c r="C57">
        <v>2086.55821917808</v>
      </c>
      <c r="E57" t="s">
        <v>466</v>
      </c>
      <c r="F57">
        <v>363.227739726027</v>
      </c>
      <c r="H57" t="s">
        <v>115</v>
      </c>
      <c r="I57">
        <v>1</v>
      </c>
      <c r="J57">
        <v>2086.55821917808</v>
      </c>
      <c r="L57" t="s">
        <v>172</v>
      </c>
      <c r="M57" t="s">
        <v>173</v>
      </c>
      <c r="N57">
        <v>1854.70890410959</v>
      </c>
    </row>
    <row r="58" spans="1:14">
      <c r="A58" t="s">
        <v>230</v>
      </c>
      <c r="B58" s="2">
        <v>1</v>
      </c>
      <c r="C58">
        <v>12210.0599315068</v>
      </c>
      <c r="E58" t="s">
        <v>420</v>
      </c>
      <c r="F58">
        <v>1352.39726027397</v>
      </c>
      <c r="H58" t="s">
        <v>226</v>
      </c>
      <c r="I58">
        <v>2</v>
      </c>
      <c r="J58">
        <v>4173.11643835616</v>
      </c>
      <c r="L58" t="s">
        <v>176</v>
      </c>
      <c r="M58" t="s">
        <v>174</v>
      </c>
      <c r="N58">
        <v>529.366438356164</v>
      </c>
    </row>
    <row r="59" spans="1:14">
      <c r="A59" t="s">
        <v>232</v>
      </c>
      <c r="B59" s="2">
        <v>1</v>
      </c>
      <c r="C59">
        <v>2782.06335616438</v>
      </c>
      <c r="E59" t="s">
        <v>672</v>
      </c>
      <c r="F59">
        <v>6414.21232876712</v>
      </c>
      <c r="H59" t="s">
        <v>195</v>
      </c>
      <c r="I59">
        <v>1</v>
      </c>
      <c r="J59">
        <v>1468.32191780822</v>
      </c>
      <c r="L59" t="s">
        <v>179</v>
      </c>
      <c r="M59" t="s">
        <v>177</v>
      </c>
      <c r="N59">
        <v>583.47602739726</v>
      </c>
    </row>
    <row r="60" spans="1:14">
      <c r="A60" t="s">
        <v>235</v>
      </c>
      <c r="B60" s="2">
        <v>1</v>
      </c>
      <c r="C60">
        <v>2782.06335616438</v>
      </c>
      <c r="E60" t="s">
        <v>638</v>
      </c>
      <c r="F60">
        <v>297.559931506849</v>
      </c>
      <c r="H60" t="s">
        <v>629</v>
      </c>
      <c r="I60">
        <v>1</v>
      </c>
      <c r="J60">
        <v>4675.3852739726</v>
      </c>
      <c r="L60" t="s">
        <v>182</v>
      </c>
      <c r="M60" t="s">
        <v>180</v>
      </c>
      <c r="N60">
        <v>966.010273972603</v>
      </c>
    </row>
    <row r="61" spans="1:14">
      <c r="A61" t="s">
        <v>238</v>
      </c>
      <c r="B61" s="2">
        <v>1</v>
      </c>
      <c r="C61">
        <v>14064.7688356164</v>
      </c>
      <c r="E61" t="s">
        <v>68</v>
      </c>
      <c r="F61">
        <v>2009.28938356164</v>
      </c>
      <c r="H61" t="s">
        <v>211</v>
      </c>
      <c r="I61">
        <v>1</v>
      </c>
      <c r="J61">
        <v>4675.3852739726</v>
      </c>
      <c r="L61" t="s">
        <v>182</v>
      </c>
      <c r="M61" t="s">
        <v>146</v>
      </c>
      <c r="N61">
        <v>1545.59075342466</v>
      </c>
    </row>
    <row r="62" spans="1:14">
      <c r="A62" t="s">
        <v>241</v>
      </c>
      <c r="B62" s="2">
        <v>1</v>
      </c>
      <c r="C62">
        <v>2264.34075342466</v>
      </c>
      <c r="E62" t="s">
        <v>706</v>
      </c>
      <c r="F62">
        <v>1120.54794520548</v>
      </c>
      <c r="H62" t="s">
        <v>198</v>
      </c>
      <c r="I62">
        <v>1</v>
      </c>
      <c r="J62">
        <v>2357.02054794521</v>
      </c>
      <c r="L62" t="s">
        <v>184</v>
      </c>
      <c r="M62" t="s">
        <v>183</v>
      </c>
      <c r="N62">
        <v>2086.55821917808</v>
      </c>
    </row>
    <row r="63" spans="1:14">
      <c r="A63" t="s">
        <v>245</v>
      </c>
      <c r="B63" s="2">
        <v>1</v>
      </c>
      <c r="C63">
        <v>1120.54794520548</v>
      </c>
      <c r="E63" t="s">
        <v>982</v>
      </c>
      <c r="F63">
        <v>2086.55821917808</v>
      </c>
      <c r="H63" t="s">
        <v>102</v>
      </c>
      <c r="I63">
        <v>1</v>
      </c>
      <c r="J63">
        <v>3709.41780821918</v>
      </c>
      <c r="L63" t="s">
        <v>187</v>
      </c>
      <c r="M63" t="s">
        <v>185</v>
      </c>
      <c r="N63">
        <v>347.77397260274</v>
      </c>
    </row>
    <row r="64" spans="1:14">
      <c r="A64" t="s">
        <v>248</v>
      </c>
      <c r="B64" s="2">
        <v>1</v>
      </c>
      <c r="C64">
        <v>7959.80308219178</v>
      </c>
      <c r="E64" t="s">
        <v>92</v>
      </c>
      <c r="F64">
        <v>3632.14897260274</v>
      </c>
      <c r="H64" t="s">
        <v>1085</v>
      </c>
      <c r="I64">
        <v>1</v>
      </c>
      <c r="J64">
        <v>1352.39726027397</v>
      </c>
      <c r="L64" t="s">
        <v>190</v>
      </c>
      <c r="M64" t="s">
        <v>188</v>
      </c>
      <c r="N64">
        <v>1043.27910958904</v>
      </c>
    </row>
    <row r="65" spans="1:14">
      <c r="A65" t="s">
        <v>253</v>
      </c>
      <c r="B65" s="2">
        <v>1</v>
      </c>
      <c r="C65">
        <v>285.958904109589</v>
      </c>
      <c r="E65" t="s">
        <v>893</v>
      </c>
      <c r="F65">
        <v>7341.52397260274</v>
      </c>
      <c r="H65" t="s">
        <v>310</v>
      </c>
      <c r="I65">
        <v>1</v>
      </c>
      <c r="J65">
        <v>2588.8698630137</v>
      </c>
      <c r="L65" t="s">
        <v>192</v>
      </c>
      <c r="M65" t="s">
        <v>191</v>
      </c>
      <c r="N65">
        <v>1043.27910958904</v>
      </c>
    </row>
    <row r="66" spans="1:14">
      <c r="A66" t="s">
        <v>256</v>
      </c>
      <c r="B66" s="2">
        <v>1</v>
      </c>
      <c r="C66">
        <v>633.732876712329</v>
      </c>
      <c r="E66" t="s">
        <v>212</v>
      </c>
      <c r="F66">
        <v>14644.4349315068</v>
      </c>
      <c r="H66" t="s">
        <v>239</v>
      </c>
      <c r="I66">
        <v>1</v>
      </c>
      <c r="J66">
        <v>850.085616438356</v>
      </c>
      <c r="L66" t="s">
        <v>194</v>
      </c>
      <c r="M66" t="s">
        <v>137</v>
      </c>
      <c r="N66">
        <v>490.753424657534</v>
      </c>
    </row>
    <row r="67" spans="1:14">
      <c r="A67" t="s">
        <v>259</v>
      </c>
      <c r="B67" s="2">
        <v>1</v>
      </c>
      <c r="C67">
        <v>266.652397260274</v>
      </c>
      <c r="E67" t="s">
        <v>873</v>
      </c>
      <c r="F67">
        <v>2009.28938356164</v>
      </c>
      <c r="H67" t="s">
        <v>208</v>
      </c>
      <c r="I67">
        <v>1</v>
      </c>
      <c r="J67">
        <v>850.085616438356</v>
      </c>
      <c r="L67" t="s">
        <v>197</v>
      </c>
      <c r="M67" t="s">
        <v>195</v>
      </c>
      <c r="N67">
        <v>1468.32191780822</v>
      </c>
    </row>
    <row r="68" spans="1:14">
      <c r="A68" t="s">
        <v>262</v>
      </c>
      <c r="B68" s="2">
        <v>1</v>
      </c>
      <c r="C68">
        <v>2357.02054794521</v>
      </c>
      <c r="E68" t="s">
        <v>579</v>
      </c>
      <c r="F68">
        <v>285.958904109589</v>
      </c>
      <c r="H68" t="s">
        <v>155</v>
      </c>
      <c r="I68">
        <v>2</v>
      </c>
      <c r="J68">
        <v>4714.04109589041</v>
      </c>
      <c r="L68" t="s">
        <v>197</v>
      </c>
      <c r="M68" t="s">
        <v>198</v>
      </c>
      <c r="N68">
        <v>2357.02054794521</v>
      </c>
    </row>
    <row r="69" spans="1:14">
      <c r="A69" t="s">
        <v>266</v>
      </c>
      <c r="B69" s="2">
        <v>1</v>
      </c>
      <c r="C69">
        <v>1955.22260273973</v>
      </c>
      <c r="E69" t="s">
        <v>329</v>
      </c>
      <c r="F69">
        <v>3153.03938356164</v>
      </c>
      <c r="H69" t="s">
        <v>963</v>
      </c>
      <c r="I69">
        <v>1</v>
      </c>
      <c r="J69">
        <v>2588.8698630137</v>
      </c>
      <c r="L69" t="s">
        <v>197</v>
      </c>
      <c r="M69" t="s">
        <v>199</v>
      </c>
      <c r="N69">
        <v>2086.55821917808</v>
      </c>
    </row>
    <row r="70" spans="1:14">
      <c r="A70" t="s">
        <v>270</v>
      </c>
      <c r="B70" s="2">
        <v>1</v>
      </c>
      <c r="C70">
        <v>3941.22431506849</v>
      </c>
      <c r="E70" t="s">
        <v>635</v>
      </c>
      <c r="F70">
        <v>5911.90068493151</v>
      </c>
      <c r="H70" t="s">
        <v>692</v>
      </c>
      <c r="I70">
        <v>2</v>
      </c>
      <c r="J70">
        <v>5177.7397260274</v>
      </c>
      <c r="L70" t="s">
        <v>203</v>
      </c>
      <c r="M70" t="s">
        <v>201</v>
      </c>
      <c r="N70">
        <v>490.753424657534</v>
      </c>
    </row>
    <row r="71" spans="1:14">
      <c r="A71" t="s">
        <v>273</v>
      </c>
      <c r="B71" s="2">
        <v>1</v>
      </c>
      <c r="C71">
        <v>2032.44863013699</v>
      </c>
      <c r="E71" t="s">
        <v>858</v>
      </c>
      <c r="F71">
        <v>4443.57876712329</v>
      </c>
      <c r="H71" t="s">
        <v>947</v>
      </c>
      <c r="I71">
        <v>1</v>
      </c>
      <c r="J71">
        <v>1970.63356164384</v>
      </c>
      <c r="L71" t="s">
        <v>206</v>
      </c>
      <c r="M71" t="s">
        <v>204</v>
      </c>
      <c r="N71">
        <v>5409.54623287671</v>
      </c>
    </row>
    <row r="72" spans="1:14">
      <c r="A72" t="s">
        <v>277</v>
      </c>
      <c r="B72" s="2">
        <v>1</v>
      </c>
      <c r="C72">
        <v>629.837328767123</v>
      </c>
      <c r="E72" t="s">
        <v>1017</v>
      </c>
      <c r="F72">
        <v>2434.28938356164</v>
      </c>
      <c r="H72" t="s">
        <v>924</v>
      </c>
      <c r="I72">
        <v>1</v>
      </c>
      <c r="J72">
        <v>1970.63356164384</v>
      </c>
      <c r="L72" t="s">
        <v>206</v>
      </c>
      <c r="M72" t="s">
        <v>207</v>
      </c>
      <c r="N72">
        <v>1352.39726027397</v>
      </c>
    </row>
    <row r="73" spans="1:14">
      <c r="A73" t="s">
        <v>280</v>
      </c>
      <c r="B73" s="2">
        <v>1</v>
      </c>
      <c r="C73">
        <v>231.849315068493</v>
      </c>
      <c r="E73" t="s">
        <v>506</v>
      </c>
      <c r="F73">
        <v>6646.06164383562</v>
      </c>
      <c r="H73" t="s">
        <v>396</v>
      </c>
      <c r="I73">
        <v>1</v>
      </c>
      <c r="J73">
        <v>1236.47260273973</v>
      </c>
      <c r="L73" t="s">
        <v>210</v>
      </c>
      <c r="M73" t="s">
        <v>208</v>
      </c>
      <c r="N73">
        <v>850.085616438356</v>
      </c>
    </row>
    <row r="74" spans="1:14">
      <c r="A74" t="s">
        <v>283</v>
      </c>
      <c r="B74" s="2">
        <v>1</v>
      </c>
      <c r="C74">
        <v>1800.64212328767</v>
      </c>
      <c r="E74" t="s">
        <v>905</v>
      </c>
      <c r="F74">
        <v>17789.6832191781</v>
      </c>
      <c r="H74" t="s">
        <v>571</v>
      </c>
      <c r="I74">
        <v>1</v>
      </c>
      <c r="J74">
        <v>1236.47260273973</v>
      </c>
      <c r="L74" t="s">
        <v>213</v>
      </c>
      <c r="M74" t="s">
        <v>211</v>
      </c>
      <c r="N74">
        <v>4675.3852739726</v>
      </c>
    </row>
    <row r="75" spans="1:14">
      <c r="A75" t="s">
        <v>286</v>
      </c>
      <c r="B75" s="2">
        <v>1</v>
      </c>
      <c r="C75">
        <v>966.010273972603</v>
      </c>
      <c r="E75" t="s">
        <v>1010</v>
      </c>
      <c r="F75">
        <v>1970.63356164384</v>
      </c>
      <c r="H75" t="s">
        <v>284</v>
      </c>
      <c r="I75">
        <v>1</v>
      </c>
      <c r="J75">
        <v>966.010273972603</v>
      </c>
      <c r="L75" t="s">
        <v>213</v>
      </c>
      <c r="M75" t="s">
        <v>214</v>
      </c>
      <c r="N75">
        <v>1854.70890410959</v>
      </c>
    </row>
    <row r="76" spans="1:14">
      <c r="A76" t="s">
        <v>288</v>
      </c>
      <c r="B76" s="2">
        <v>1</v>
      </c>
      <c r="C76">
        <v>494.606164383562</v>
      </c>
      <c r="E76" t="s">
        <v>430</v>
      </c>
      <c r="F76">
        <v>29365.9674657534</v>
      </c>
      <c r="H76" t="s">
        <v>705</v>
      </c>
      <c r="I76">
        <v>1</v>
      </c>
      <c r="J76">
        <v>1120.54794520548</v>
      </c>
      <c r="L76" t="s">
        <v>218</v>
      </c>
      <c r="M76" t="s">
        <v>216</v>
      </c>
      <c r="N76">
        <v>1120.54794520548</v>
      </c>
    </row>
    <row r="77" spans="1:14">
      <c r="A77" t="s">
        <v>291</v>
      </c>
      <c r="B77" s="2">
        <v>1</v>
      </c>
      <c r="C77">
        <v>266.652397260274</v>
      </c>
      <c r="E77" t="s">
        <v>1041</v>
      </c>
      <c r="F77">
        <v>94241.5667808219</v>
      </c>
      <c r="H77" t="s">
        <v>373</v>
      </c>
      <c r="I77">
        <v>1</v>
      </c>
      <c r="J77">
        <v>1120.54794520548</v>
      </c>
      <c r="L77" t="s">
        <v>218</v>
      </c>
      <c r="M77" t="s">
        <v>219</v>
      </c>
      <c r="N77">
        <v>2936.60102739726</v>
      </c>
    </row>
    <row r="78" spans="1:14">
      <c r="A78" t="s">
        <v>293</v>
      </c>
      <c r="B78" s="2">
        <v>1</v>
      </c>
      <c r="C78">
        <v>266.652397260274</v>
      </c>
      <c r="E78" t="s">
        <v>866</v>
      </c>
      <c r="F78">
        <v>297.559931506849</v>
      </c>
      <c r="H78" t="s">
        <v>1108</v>
      </c>
      <c r="I78">
        <v>1</v>
      </c>
      <c r="J78">
        <v>2588.8698630137</v>
      </c>
      <c r="L78" t="s">
        <v>222</v>
      </c>
      <c r="M78" t="s">
        <v>220</v>
      </c>
      <c r="N78">
        <v>26429.3664383562</v>
      </c>
    </row>
    <row r="79" spans="1:14">
      <c r="A79" t="s">
        <v>296</v>
      </c>
      <c r="B79" s="2">
        <v>1</v>
      </c>
      <c r="C79">
        <v>2820.71917808219</v>
      </c>
      <c r="E79" t="s">
        <v>472</v>
      </c>
      <c r="F79">
        <v>6004.62328767123</v>
      </c>
      <c r="H79" t="s">
        <v>246</v>
      </c>
      <c r="I79">
        <v>1</v>
      </c>
      <c r="J79">
        <v>2588.8698630137</v>
      </c>
      <c r="L79" t="s">
        <v>224</v>
      </c>
      <c r="M79" t="s">
        <v>165</v>
      </c>
      <c r="N79">
        <v>370.97602739726</v>
      </c>
    </row>
    <row r="80" spans="1:14">
      <c r="A80" t="s">
        <v>298</v>
      </c>
      <c r="B80" s="2">
        <v>1</v>
      </c>
      <c r="C80">
        <v>266.652397260274</v>
      </c>
      <c r="E80" t="s">
        <v>660</v>
      </c>
      <c r="F80">
        <v>3941.22431506849</v>
      </c>
      <c r="H80" t="s">
        <v>249</v>
      </c>
      <c r="I80">
        <v>1</v>
      </c>
      <c r="J80">
        <v>1970.63356164384</v>
      </c>
      <c r="L80" t="s">
        <v>224</v>
      </c>
      <c r="M80" t="s">
        <v>225</v>
      </c>
      <c r="N80">
        <v>6220.97602739726</v>
      </c>
    </row>
    <row r="81" spans="1:14">
      <c r="A81" t="s">
        <v>300</v>
      </c>
      <c r="B81" s="2">
        <v>1</v>
      </c>
      <c r="C81">
        <v>266.652397260274</v>
      </c>
      <c r="E81" t="s">
        <v>948</v>
      </c>
      <c r="F81">
        <v>3941.26712328767</v>
      </c>
      <c r="H81" t="s">
        <v>950</v>
      </c>
      <c r="I81">
        <v>1</v>
      </c>
      <c r="J81">
        <v>1970.63356164384</v>
      </c>
      <c r="L81" t="s">
        <v>228</v>
      </c>
      <c r="M81" t="s">
        <v>226</v>
      </c>
      <c r="N81">
        <v>2086.55821917808</v>
      </c>
    </row>
    <row r="82" spans="1:14">
      <c r="A82" t="s">
        <v>303</v>
      </c>
      <c r="B82" s="2">
        <v>1</v>
      </c>
      <c r="C82">
        <v>7882.44863013699</v>
      </c>
      <c r="E82" t="s">
        <v>322</v>
      </c>
      <c r="F82">
        <v>4791.35273972603</v>
      </c>
      <c r="H82" t="s">
        <v>1009</v>
      </c>
      <c r="I82">
        <v>1</v>
      </c>
      <c r="J82">
        <v>1970.63356164384</v>
      </c>
      <c r="L82" t="s">
        <v>230</v>
      </c>
      <c r="M82" t="s">
        <v>229</v>
      </c>
      <c r="N82">
        <v>12210.0599315068</v>
      </c>
    </row>
    <row r="83" spans="1:14">
      <c r="A83" t="s">
        <v>305</v>
      </c>
      <c r="B83" s="2">
        <v>1</v>
      </c>
      <c r="C83">
        <v>231.849315068493</v>
      </c>
      <c r="E83" t="s">
        <v>572</v>
      </c>
      <c r="F83">
        <v>3593.49315068493</v>
      </c>
      <c r="H83" t="s">
        <v>647</v>
      </c>
      <c r="I83">
        <v>1</v>
      </c>
      <c r="J83">
        <v>1970.63356164384</v>
      </c>
      <c r="L83" t="s">
        <v>232</v>
      </c>
      <c r="M83" t="s">
        <v>231</v>
      </c>
      <c r="N83">
        <v>2782.06335616438</v>
      </c>
    </row>
    <row r="84" spans="1:14">
      <c r="A84" t="s">
        <v>307</v>
      </c>
      <c r="B84" s="2">
        <v>1</v>
      </c>
      <c r="C84">
        <v>266.652397260274</v>
      </c>
      <c r="E84" t="s">
        <v>788</v>
      </c>
      <c r="F84">
        <v>11360.0171232877</v>
      </c>
      <c r="H84" t="s">
        <v>105</v>
      </c>
      <c r="I84">
        <v>6</v>
      </c>
      <c r="J84">
        <v>2349.48630136986</v>
      </c>
      <c r="L84" t="s">
        <v>235</v>
      </c>
      <c r="M84" t="s">
        <v>233</v>
      </c>
      <c r="N84">
        <v>2782.06335616438</v>
      </c>
    </row>
    <row r="85" spans="1:14">
      <c r="A85" t="s">
        <v>309</v>
      </c>
      <c r="B85" s="2">
        <v>1</v>
      </c>
      <c r="C85">
        <v>1120.54794520548</v>
      </c>
      <c r="E85" t="s">
        <v>407</v>
      </c>
      <c r="F85">
        <v>20401.6695205479</v>
      </c>
      <c r="H85" t="s">
        <v>165</v>
      </c>
      <c r="I85">
        <v>5</v>
      </c>
      <c r="J85">
        <v>1916.69520547945</v>
      </c>
      <c r="L85" t="s">
        <v>238</v>
      </c>
      <c r="M85" t="s">
        <v>236</v>
      </c>
      <c r="N85">
        <v>14064.7688356164</v>
      </c>
    </row>
    <row r="86" spans="1:14">
      <c r="A86" t="s">
        <v>312</v>
      </c>
      <c r="B86" s="2">
        <v>1</v>
      </c>
      <c r="C86">
        <v>2588.8698630137</v>
      </c>
      <c r="E86" t="s">
        <v>779</v>
      </c>
      <c r="F86">
        <v>16460.4023972603</v>
      </c>
      <c r="H86" t="s">
        <v>183</v>
      </c>
      <c r="I86">
        <v>1</v>
      </c>
      <c r="J86">
        <v>2086.55821917808</v>
      </c>
      <c r="L86" t="s">
        <v>241</v>
      </c>
      <c r="M86" t="s">
        <v>239</v>
      </c>
      <c r="N86">
        <v>850.085616438356</v>
      </c>
    </row>
    <row r="87" spans="1:14">
      <c r="A87" t="s">
        <v>314</v>
      </c>
      <c r="B87" s="2">
        <v>1</v>
      </c>
      <c r="C87">
        <v>266.652397260274</v>
      </c>
      <c r="E87" t="s">
        <v>205</v>
      </c>
      <c r="F87">
        <v>6761.94349315068</v>
      </c>
      <c r="H87" t="s">
        <v>936</v>
      </c>
      <c r="I87">
        <v>1</v>
      </c>
      <c r="J87">
        <v>1854.70890410959</v>
      </c>
      <c r="L87" t="s">
        <v>241</v>
      </c>
      <c r="M87" t="s">
        <v>165</v>
      </c>
      <c r="N87">
        <v>370.97602739726</v>
      </c>
    </row>
    <row r="88" spans="1:14">
      <c r="A88" t="s">
        <v>316</v>
      </c>
      <c r="B88" s="2">
        <v>1</v>
      </c>
      <c r="C88">
        <v>7086.5154109589</v>
      </c>
      <c r="E88" t="s">
        <v>852</v>
      </c>
      <c r="F88">
        <v>7264.2551369863</v>
      </c>
      <c r="H88" t="s">
        <v>188</v>
      </c>
      <c r="I88">
        <v>1</v>
      </c>
      <c r="J88">
        <v>1043.27910958904</v>
      </c>
      <c r="L88" t="s">
        <v>241</v>
      </c>
      <c r="M88" t="s">
        <v>242</v>
      </c>
      <c r="N88">
        <v>1043.27910958904</v>
      </c>
    </row>
    <row r="89" spans="1:14">
      <c r="A89" t="s">
        <v>320</v>
      </c>
      <c r="B89" s="2">
        <v>1</v>
      </c>
      <c r="C89">
        <v>3338.4845890411</v>
      </c>
      <c r="E89" t="s">
        <v>75</v>
      </c>
      <c r="F89">
        <v>4907.2345890411</v>
      </c>
      <c r="H89" t="s">
        <v>180</v>
      </c>
      <c r="I89">
        <v>1</v>
      </c>
      <c r="J89">
        <v>966.010273972603</v>
      </c>
      <c r="L89" t="s">
        <v>245</v>
      </c>
      <c r="M89" t="s">
        <v>243</v>
      </c>
      <c r="N89">
        <v>1120.54794520548</v>
      </c>
    </row>
    <row r="90" spans="1:14">
      <c r="A90" t="s">
        <v>323</v>
      </c>
      <c r="B90" s="2">
        <v>1</v>
      </c>
      <c r="C90">
        <v>4791.35273972603</v>
      </c>
      <c r="E90" t="s">
        <v>971</v>
      </c>
      <c r="F90">
        <v>3052.52568493151</v>
      </c>
      <c r="H90" t="s">
        <v>146</v>
      </c>
      <c r="I90">
        <v>2</v>
      </c>
      <c r="J90">
        <v>3091.18150684932</v>
      </c>
      <c r="L90" t="s">
        <v>248</v>
      </c>
      <c r="M90" t="s">
        <v>246</v>
      </c>
      <c r="N90">
        <v>2588.8698630137</v>
      </c>
    </row>
    <row r="91" spans="1:14">
      <c r="A91" t="s">
        <v>327</v>
      </c>
      <c r="B91" s="2">
        <v>1</v>
      </c>
      <c r="C91">
        <v>266.652397260274</v>
      </c>
      <c r="E91" t="s">
        <v>488</v>
      </c>
      <c r="F91">
        <v>583.518835616438</v>
      </c>
      <c r="H91" t="s">
        <v>152</v>
      </c>
      <c r="I91">
        <v>1</v>
      </c>
      <c r="J91">
        <v>1120.54794520548</v>
      </c>
      <c r="L91" t="s">
        <v>248</v>
      </c>
      <c r="M91" t="s">
        <v>249</v>
      </c>
      <c r="N91">
        <v>1970.63356164384</v>
      </c>
    </row>
    <row r="92" spans="1:14">
      <c r="A92" t="s">
        <v>330</v>
      </c>
      <c r="B92" s="2">
        <v>1</v>
      </c>
      <c r="C92">
        <v>2588.8698630137</v>
      </c>
      <c r="E92" t="s">
        <v>1030</v>
      </c>
      <c r="F92">
        <v>3056.46404109589</v>
      </c>
      <c r="H92" t="s">
        <v>216</v>
      </c>
      <c r="I92">
        <v>1</v>
      </c>
      <c r="J92">
        <v>1120.54794520548</v>
      </c>
      <c r="L92" t="s">
        <v>248</v>
      </c>
      <c r="M92" t="s">
        <v>250</v>
      </c>
      <c r="N92">
        <v>3400.29965753425</v>
      </c>
    </row>
    <row r="93" spans="1:14">
      <c r="A93" t="s">
        <v>333</v>
      </c>
      <c r="B93" s="2">
        <v>1</v>
      </c>
      <c r="C93">
        <v>490.753424657534</v>
      </c>
      <c r="E93" t="s">
        <v>116</v>
      </c>
      <c r="F93">
        <v>2086.55821917808</v>
      </c>
      <c r="H93" t="s">
        <v>403</v>
      </c>
      <c r="I93">
        <v>10</v>
      </c>
      <c r="J93">
        <v>11205.4794520548</v>
      </c>
      <c r="L93" t="s">
        <v>253</v>
      </c>
      <c r="M93" t="s">
        <v>251</v>
      </c>
      <c r="N93">
        <v>285.958904109589</v>
      </c>
    </row>
    <row r="94" spans="1:14">
      <c r="A94" t="s">
        <v>335</v>
      </c>
      <c r="B94" s="2">
        <v>1</v>
      </c>
      <c r="C94">
        <v>266.652397260274</v>
      </c>
      <c r="E94" t="s">
        <v>103</v>
      </c>
      <c r="F94">
        <v>4335.44520547945</v>
      </c>
      <c r="H94" t="s">
        <v>219</v>
      </c>
      <c r="I94">
        <v>1</v>
      </c>
      <c r="J94">
        <v>2936.60102739726</v>
      </c>
      <c r="L94" t="s">
        <v>256</v>
      </c>
      <c r="M94" t="s">
        <v>254</v>
      </c>
      <c r="N94">
        <v>316.866438356164</v>
      </c>
    </row>
    <row r="95" spans="1:14">
      <c r="A95" t="s">
        <v>338</v>
      </c>
      <c r="B95" s="2">
        <v>1</v>
      </c>
      <c r="C95">
        <v>5564.12671232877</v>
      </c>
      <c r="E95" t="s">
        <v>909</v>
      </c>
      <c r="F95">
        <v>297.559931506849</v>
      </c>
      <c r="H95" t="s">
        <v>675</v>
      </c>
      <c r="I95">
        <v>1</v>
      </c>
      <c r="J95">
        <v>6877.82534246575</v>
      </c>
      <c r="L95" t="s">
        <v>256</v>
      </c>
      <c r="M95" t="s">
        <v>257</v>
      </c>
      <c r="N95">
        <v>316.866438356164</v>
      </c>
    </row>
    <row r="96" spans="1:14">
      <c r="A96" t="s">
        <v>342</v>
      </c>
      <c r="B96" s="2">
        <v>1</v>
      </c>
      <c r="C96">
        <v>266.652397260274</v>
      </c>
      <c r="E96" t="s">
        <v>350</v>
      </c>
      <c r="F96">
        <v>463.698630136986</v>
      </c>
      <c r="H96" t="s">
        <v>70</v>
      </c>
      <c r="I96">
        <v>1</v>
      </c>
      <c r="J96">
        <v>1236.47260273973</v>
      </c>
      <c r="L96" t="s">
        <v>259</v>
      </c>
      <c r="M96" t="s">
        <v>81</v>
      </c>
      <c r="N96">
        <v>266.652397260274</v>
      </c>
    </row>
    <row r="97" spans="1:14">
      <c r="A97" t="s">
        <v>344</v>
      </c>
      <c r="B97" s="2">
        <v>1</v>
      </c>
      <c r="C97">
        <v>498.501712328767</v>
      </c>
      <c r="E97" t="s">
        <v>839</v>
      </c>
      <c r="F97">
        <v>2434.28938356164</v>
      </c>
      <c r="H97" t="s">
        <v>860</v>
      </c>
      <c r="I97">
        <v>1</v>
      </c>
      <c r="J97">
        <v>1236.47260273973</v>
      </c>
      <c r="L97" t="s">
        <v>262</v>
      </c>
      <c r="M97" t="s">
        <v>260</v>
      </c>
      <c r="N97">
        <v>2357.02054794521</v>
      </c>
    </row>
    <row r="98" spans="1:14">
      <c r="A98" t="s">
        <v>347</v>
      </c>
      <c r="B98" s="2">
        <v>1</v>
      </c>
      <c r="C98">
        <v>3091.18150684932</v>
      </c>
      <c r="E98" t="s">
        <v>763</v>
      </c>
      <c r="F98">
        <v>11900.9845890411</v>
      </c>
      <c r="H98" t="s">
        <v>73</v>
      </c>
      <c r="I98">
        <v>1</v>
      </c>
      <c r="J98">
        <v>1236.47260273973</v>
      </c>
      <c r="L98" t="s">
        <v>266</v>
      </c>
      <c r="M98" t="s">
        <v>264</v>
      </c>
      <c r="N98">
        <v>1584.24657534247</v>
      </c>
    </row>
    <row r="99" spans="1:14">
      <c r="A99" t="s">
        <v>348</v>
      </c>
      <c r="B99" s="2">
        <v>1</v>
      </c>
      <c r="C99">
        <v>4907.2345890411</v>
      </c>
      <c r="E99" t="s">
        <v>479</v>
      </c>
      <c r="F99">
        <v>850.085616438356</v>
      </c>
      <c r="H99" t="s">
        <v>854</v>
      </c>
      <c r="I99">
        <v>1</v>
      </c>
      <c r="J99">
        <v>2086.55821917808</v>
      </c>
      <c r="L99" t="s">
        <v>266</v>
      </c>
      <c r="M99" t="s">
        <v>267</v>
      </c>
      <c r="N99">
        <v>370.97602739726</v>
      </c>
    </row>
    <row r="100" spans="1:14">
      <c r="A100" t="s">
        <v>351</v>
      </c>
      <c r="B100" s="2">
        <v>1</v>
      </c>
      <c r="C100">
        <v>463.698630136986</v>
      </c>
      <c r="E100" t="s">
        <v>693</v>
      </c>
      <c r="F100">
        <v>2588.8698630137</v>
      </c>
      <c r="H100" t="s">
        <v>644</v>
      </c>
      <c r="I100">
        <v>1</v>
      </c>
      <c r="J100">
        <v>2086.55821917808</v>
      </c>
      <c r="L100" t="s">
        <v>270</v>
      </c>
      <c r="M100" t="s">
        <v>268</v>
      </c>
      <c r="N100">
        <v>3941.22431506849</v>
      </c>
    </row>
    <row r="101" spans="1:14">
      <c r="A101" t="s">
        <v>354</v>
      </c>
      <c r="B101" s="2">
        <v>1</v>
      </c>
      <c r="C101">
        <v>12016.8664383562</v>
      </c>
      <c r="E101" t="s">
        <v>834</v>
      </c>
      <c r="F101">
        <v>363.227739726027</v>
      </c>
      <c r="H101" t="s">
        <v>99</v>
      </c>
      <c r="I101">
        <v>1</v>
      </c>
      <c r="J101">
        <v>1120.54794520548</v>
      </c>
      <c r="L101" t="s">
        <v>273</v>
      </c>
      <c r="M101" t="s">
        <v>271</v>
      </c>
      <c r="N101">
        <v>1429.66609589041</v>
      </c>
    </row>
    <row r="102" spans="1:14">
      <c r="A102" t="s">
        <v>358</v>
      </c>
      <c r="B102" s="2">
        <v>1</v>
      </c>
      <c r="C102">
        <v>1738.78424657534</v>
      </c>
      <c r="E102" t="s">
        <v>617</v>
      </c>
      <c r="F102">
        <v>7611.98630136986</v>
      </c>
      <c r="H102" t="s">
        <v>422</v>
      </c>
      <c r="I102">
        <v>1</v>
      </c>
      <c r="J102">
        <v>3709.41780821918</v>
      </c>
      <c r="L102" t="s">
        <v>273</v>
      </c>
      <c r="M102" t="s">
        <v>274</v>
      </c>
      <c r="N102">
        <v>602.782534246575</v>
      </c>
    </row>
    <row r="103" spans="1:14">
      <c r="A103" t="s">
        <v>360</v>
      </c>
      <c r="B103" s="2">
        <v>1</v>
      </c>
      <c r="C103">
        <v>4343.10787671233</v>
      </c>
      <c r="E103" t="s">
        <v>589</v>
      </c>
      <c r="F103">
        <v>463.698630136986</v>
      </c>
      <c r="H103" t="s">
        <v>886</v>
      </c>
      <c r="I103">
        <v>1</v>
      </c>
      <c r="J103">
        <v>3709.41780821918</v>
      </c>
      <c r="L103" t="s">
        <v>277</v>
      </c>
      <c r="M103" t="s">
        <v>275</v>
      </c>
      <c r="N103">
        <v>629.837328767123</v>
      </c>
    </row>
    <row r="104" spans="1:14">
      <c r="A104" t="s">
        <v>362</v>
      </c>
      <c r="B104" s="2">
        <v>1</v>
      </c>
      <c r="C104">
        <v>266.652397260274</v>
      </c>
      <c r="E104" t="s">
        <v>803</v>
      </c>
      <c r="F104">
        <v>4173.07363013699</v>
      </c>
      <c r="H104" t="s">
        <v>530</v>
      </c>
      <c r="I104">
        <v>1</v>
      </c>
      <c r="J104">
        <v>6143.70719178082</v>
      </c>
      <c r="L104" t="s">
        <v>280</v>
      </c>
      <c r="M104" t="s">
        <v>278</v>
      </c>
      <c r="N104">
        <v>231.849315068493</v>
      </c>
    </row>
    <row r="105" spans="1:14">
      <c r="A105" t="s">
        <v>365</v>
      </c>
      <c r="B105" s="2">
        <v>1</v>
      </c>
      <c r="C105">
        <v>494.606164383562</v>
      </c>
      <c r="E105" t="s">
        <v>247</v>
      </c>
      <c r="F105">
        <v>7959.80308219178</v>
      </c>
      <c r="H105" t="s">
        <v>784</v>
      </c>
      <c r="I105">
        <v>1</v>
      </c>
      <c r="J105">
        <v>2357.02054794521</v>
      </c>
      <c r="L105" t="s">
        <v>283</v>
      </c>
      <c r="M105" t="s">
        <v>281</v>
      </c>
      <c r="N105">
        <v>1429.66609589041</v>
      </c>
    </row>
    <row r="106" spans="1:14">
      <c r="A106" t="s">
        <v>368</v>
      </c>
      <c r="B106" s="2">
        <v>1</v>
      </c>
      <c r="C106">
        <v>231.849315068493</v>
      </c>
      <c r="E106" t="s">
        <v>414</v>
      </c>
      <c r="F106">
        <v>1298.37328767123</v>
      </c>
      <c r="H106" t="s">
        <v>574</v>
      </c>
      <c r="I106">
        <v>1</v>
      </c>
      <c r="J106">
        <v>2357.02054794521</v>
      </c>
      <c r="L106" t="s">
        <v>283</v>
      </c>
      <c r="M106" t="s">
        <v>267</v>
      </c>
      <c r="N106">
        <v>370.97602739726</v>
      </c>
    </row>
    <row r="107" spans="1:14">
      <c r="A107" t="s">
        <v>371</v>
      </c>
      <c r="B107" s="2">
        <v>1</v>
      </c>
      <c r="C107">
        <v>7418.83561643836</v>
      </c>
      <c r="E107" t="s">
        <v>443</v>
      </c>
      <c r="F107">
        <v>5761.21575342466</v>
      </c>
      <c r="H107" t="s">
        <v>805</v>
      </c>
      <c r="I107">
        <v>1</v>
      </c>
      <c r="J107">
        <v>2357.02054794521</v>
      </c>
      <c r="L107" t="s">
        <v>286</v>
      </c>
      <c r="M107" t="s">
        <v>284</v>
      </c>
      <c r="N107">
        <v>966.010273972603</v>
      </c>
    </row>
    <row r="108" spans="1:14">
      <c r="A108" t="s">
        <v>375</v>
      </c>
      <c r="B108" s="2">
        <v>1</v>
      </c>
      <c r="C108">
        <v>1120.54794520548</v>
      </c>
      <c r="E108" t="s">
        <v>397</v>
      </c>
      <c r="F108">
        <v>1236.47260273973</v>
      </c>
      <c r="H108" t="s">
        <v>570</v>
      </c>
      <c r="I108">
        <v>1</v>
      </c>
      <c r="J108">
        <v>1854.70890410959</v>
      </c>
      <c r="L108" t="s">
        <v>288</v>
      </c>
      <c r="M108" t="s">
        <v>287</v>
      </c>
      <c r="N108">
        <v>494.606164383562</v>
      </c>
    </row>
    <row r="109" spans="1:14">
      <c r="A109" t="s">
        <v>378</v>
      </c>
      <c r="B109" s="2">
        <v>1</v>
      </c>
      <c r="C109">
        <v>363.227739726027</v>
      </c>
      <c r="E109" t="s">
        <v>61</v>
      </c>
      <c r="F109">
        <v>231.849315068493</v>
      </c>
      <c r="H109" t="s">
        <v>808</v>
      </c>
      <c r="I109">
        <v>1</v>
      </c>
      <c r="J109">
        <v>1854.70890410959</v>
      </c>
      <c r="L109" t="s">
        <v>291</v>
      </c>
      <c r="M109" t="s">
        <v>289</v>
      </c>
      <c r="N109">
        <v>266.652397260274</v>
      </c>
    </row>
    <row r="110" spans="1:14">
      <c r="A110" t="s">
        <v>380</v>
      </c>
      <c r="B110" s="2">
        <v>1</v>
      </c>
      <c r="C110">
        <v>730.35102739726</v>
      </c>
      <c r="E110" t="s">
        <v>100</v>
      </c>
      <c r="F110">
        <v>1120.54794520548</v>
      </c>
      <c r="H110" t="s">
        <v>425</v>
      </c>
      <c r="I110">
        <v>1</v>
      </c>
      <c r="J110">
        <v>1854.70890410959</v>
      </c>
      <c r="L110" t="s">
        <v>293</v>
      </c>
      <c r="M110" t="s">
        <v>289</v>
      </c>
      <c r="N110">
        <v>266.652397260274</v>
      </c>
    </row>
    <row r="111" spans="1:14">
      <c r="A111" t="s">
        <v>382</v>
      </c>
      <c r="B111" s="2">
        <v>1</v>
      </c>
      <c r="C111">
        <v>266.652397260274</v>
      </c>
      <c r="E111" t="s">
        <v>302</v>
      </c>
      <c r="F111">
        <v>7882.44863013699</v>
      </c>
      <c r="H111" t="s">
        <v>207</v>
      </c>
      <c r="I111">
        <v>2</v>
      </c>
      <c r="J111">
        <v>2704.79452054795</v>
      </c>
      <c r="L111" t="s">
        <v>296</v>
      </c>
      <c r="M111" t="s">
        <v>294</v>
      </c>
      <c r="N111">
        <v>2820.71917808219</v>
      </c>
    </row>
    <row r="112" spans="1:14">
      <c r="A112" t="s">
        <v>384</v>
      </c>
      <c r="B112" s="2">
        <v>1</v>
      </c>
      <c r="C112">
        <v>4122.8595890411</v>
      </c>
      <c r="E112" t="s">
        <v>819</v>
      </c>
      <c r="F112">
        <v>3516.22431506849</v>
      </c>
      <c r="H112" t="s">
        <v>328</v>
      </c>
      <c r="I112">
        <v>1</v>
      </c>
      <c r="J112">
        <v>2588.8698630137</v>
      </c>
      <c r="L112" t="s">
        <v>298</v>
      </c>
      <c r="M112" t="s">
        <v>289</v>
      </c>
      <c r="N112">
        <v>266.652397260274</v>
      </c>
    </row>
    <row r="113" spans="1:14">
      <c r="A113" t="s">
        <v>387</v>
      </c>
      <c r="B113" s="2">
        <v>1</v>
      </c>
      <c r="C113">
        <v>1854.70890410959</v>
      </c>
      <c r="E113" t="s">
        <v>527</v>
      </c>
      <c r="F113">
        <v>3709.41780821918</v>
      </c>
      <c r="H113" t="s">
        <v>158</v>
      </c>
      <c r="I113">
        <v>2</v>
      </c>
      <c r="J113">
        <v>8887.07191780822</v>
      </c>
      <c r="L113" t="s">
        <v>300</v>
      </c>
      <c r="M113" t="s">
        <v>77</v>
      </c>
      <c r="N113">
        <v>266.652397260274</v>
      </c>
    </row>
    <row r="114" spans="1:14">
      <c r="A114" t="s">
        <v>388</v>
      </c>
      <c r="B114" s="2">
        <v>1</v>
      </c>
      <c r="C114">
        <v>633.732876712329</v>
      </c>
      <c r="E114" t="s">
        <v>728</v>
      </c>
      <c r="F114">
        <v>1058.77568493151</v>
      </c>
      <c r="H114" t="s">
        <v>717</v>
      </c>
      <c r="I114">
        <v>1</v>
      </c>
      <c r="J114">
        <v>4443.53595890411</v>
      </c>
      <c r="L114" t="s">
        <v>303</v>
      </c>
      <c r="M114" t="s">
        <v>301</v>
      </c>
      <c r="N114">
        <v>7882.44863013699</v>
      </c>
    </row>
    <row r="115" spans="1:14">
      <c r="A115" t="s">
        <v>391</v>
      </c>
      <c r="B115" s="2">
        <v>1</v>
      </c>
      <c r="C115">
        <v>255.051369863014</v>
      </c>
      <c r="E115" t="s">
        <v>269</v>
      </c>
      <c r="F115">
        <v>3941.22431506849</v>
      </c>
      <c r="H115" t="s">
        <v>830</v>
      </c>
      <c r="I115">
        <v>1</v>
      </c>
      <c r="J115">
        <v>1236.47260273973</v>
      </c>
      <c r="L115" t="s">
        <v>305</v>
      </c>
      <c r="M115" t="s">
        <v>278</v>
      </c>
      <c r="N115">
        <v>231.849315068493</v>
      </c>
    </row>
    <row r="116" spans="1:14">
      <c r="A116" t="s">
        <v>394</v>
      </c>
      <c r="B116" s="2">
        <v>1</v>
      </c>
      <c r="C116">
        <v>25811.1729452055</v>
      </c>
      <c r="E116" t="s">
        <v>703</v>
      </c>
      <c r="F116">
        <v>297.559931506849</v>
      </c>
      <c r="H116" t="s">
        <v>1058</v>
      </c>
      <c r="I116">
        <v>1</v>
      </c>
      <c r="J116">
        <v>1236.47260273973</v>
      </c>
      <c r="L116" t="s">
        <v>307</v>
      </c>
      <c r="M116" t="s">
        <v>140</v>
      </c>
      <c r="N116">
        <v>266.652397260274</v>
      </c>
    </row>
    <row r="117" spans="1:14">
      <c r="A117" t="s">
        <v>398</v>
      </c>
      <c r="B117" s="2">
        <v>1</v>
      </c>
      <c r="C117">
        <v>1236.47260273973</v>
      </c>
      <c r="E117" t="s">
        <v>825</v>
      </c>
      <c r="F117">
        <v>529.366438356164</v>
      </c>
      <c r="H117" t="s">
        <v>481</v>
      </c>
      <c r="I117">
        <v>1</v>
      </c>
      <c r="J117">
        <v>1236.47260273973</v>
      </c>
      <c r="L117" t="s">
        <v>309</v>
      </c>
      <c r="M117" t="s">
        <v>243</v>
      </c>
      <c r="N117">
        <v>1120.54794520548</v>
      </c>
    </row>
    <row r="118" spans="1:14">
      <c r="A118" t="s">
        <v>400</v>
      </c>
      <c r="B118" s="2">
        <v>1</v>
      </c>
      <c r="C118">
        <v>533.304794520548</v>
      </c>
      <c r="E118" t="s">
        <v>244</v>
      </c>
      <c r="F118">
        <v>1120.54794520548</v>
      </c>
      <c r="H118" t="s">
        <v>637</v>
      </c>
      <c r="I118">
        <v>1</v>
      </c>
      <c r="J118">
        <v>2588.8698630137</v>
      </c>
      <c r="L118" t="s">
        <v>312</v>
      </c>
      <c r="M118" t="s">
        <v>310</v>
      </c>
      <c r="N118">
        <v>2588.8698630137</v>
      </c>
    </row>
    <row r="119" spans="1:14">
      <c r="A119" t="s">
        <v>402</v>
      </c>
      <c r="B119" s="2">
        <v>1</v>
      </c>
      <c r="C119">
        <v>231.849315068493</v>
      </c>
      <c r="E119" t="s">
        <v>845</v>
      </c>
      <c r="F119">
        <v>2434.28938356164</v>
      </c>
      <c r="H119" t="s">
        <v>121</v>
      </c>
      <c r="I119">
        <v>1</v>
      </c>
      <c r="J119">
        <v>1197.8595890411</v>
      </c>
      <c r="L119" t="s">
        <v>314</v>
      </c>
      <c r="M119" t="s">
        <v>84</v>
      </c>
      <c r="N119">
        <v>266.652397260274</v>
      </c>
    </row>
    <row r="120" spans="1:14">
      <c r="A120" t="s">
        <v>405</v>
      </c>
      <c r="B120" s="2">
        <v>1</v>
      </c>
      <c r="C120">
        <v>1120.54794520548</v>
      </c>
      <c r="E120" t="s">
        <v>64</v>
      </c>
      <c r="F120">
        <v>1928.16780821918</v>
      </c>
      <c r="H120" t="s">
        <v>169</v>
      </c>
      <c r="I120">
        <v>1</v>
      </c>
      <c r="J120">
        <v>1468.32191780822</v>
      </c>
      <c r="L120" t="s">
        <v>316</v>
      </c>
      <c r="M120" t="s">
        <v>274</v>
      </c>
      <c r="N120">
        <v>633.690068493151</v>
      </c>
    </row>
    <row r="121" spans="1:14">
      <c r="A121" t="s">
        <v>408</v>
      </c>
      <c r="B121" s="2">
        <v>1</v>
      </c>
      <c r="C121">
        <v>8964.38356164384</v>
      </c>
      <c r="E121" t="s">
        <v>449</v>
      </c>
      <c r="F121">
        <v>9582.57705479452</v>
      </c>
      <c r="H121" t="s">
        <v>497</v>
      </c>
      <c r="I121">
        <v>1</v>
      </c>
      <c r="J121">
        <v>1197.8595890411</v>
      </c>
      <c r="L121" t="s">
        <v>316</v>
      </c>
      <c r="M121" t="s">
        <v>317</v>
      </c>
      <c r="N121">
        <v>6452.82534246575</v>
      </c>
    </row>
    <row r="122" spans="1:14">
      <c r="A122" t="s">
        <v>411</v>
      </c>
      <c r="B122" s="2">
        <v>1</v>
      </c>
      <c r="C122">
        <v>4482.19178082192</v>
      </c>
      <c r="E122" t="s">
        <v>957</v>
      </c>
      <c r="F122">
        <v>5525.47089041096</v>
      </c>
      <c r="H122" t="s">
        <v>500</v>
      </c>
      <c r="I122">
        <v>1</v>
      </c>
      <c r="J122">
        <v>1197.8595890411</v>
      </c>
      <c r="L122" t="s">
        <v>320</v>
      </c>
      <c r="M122" t="s">
        <v>318</v>
      </c>
      <c r="N122">
        <v>2936.60102739726</v>
      </c>
    </row>
    <row r="123" spans="1:14">
      <c r="A123" t="s">
        <v>415</v>
      </c>
      <c r="B123" s="2">
        <v>1</v>
      </c>
      <c r="C123">
        <v>1298.37328767123</v>
      </c>
      <c r="E123" t="s">
        <v>71</v>
      </c>
      <c r="F123">
        <v>2472.94520547945</v>
      </c>
      <c r="H123" t="s">
        <v>225</v>
      </c>
      <c r="I123">
        <v>1</v>
      </c>
      <c r="J123">
        <v>6220.97602739726</v>
      </c>
      <c r="L123" t="s">
        <v>320</v>
      </c>
      <c r="M123" t="s">
        <v>105</v>
      </c>
      <c r="N123">
        <v>401.883561643836</v>
      </c>
    </row>
    <row r="124" spans="1:14">
      <c r="A124" t="s">
        <v>419</v>
      </c>
      <c r="B124" s="2">
        <v>1</v>
      </c>
      <c r="C124">
        <v>297.559931506849</v>
      </c>
      <c r="E124" t="s">
        <v>741</v>
      </c>
      <c r="F124">
        <v>2434.28938356164</v>
      </c>
      <c r="H124" t="s">
        <v>933</v>
      </c>
      <c r="I124">
        <v>1</v>
      </c>
      <c r="J124">
        <v>3400.29965753425</v>
      </c>
      <c r="L124" t="s">
        <v>323</v>
      </c>
      <c r="M124" t="s">
        <v>321</v>
      </c>
      <c r="N124">
        <v>2395.67636986301</v>
      </c>
    </row>
    <row r="125" spans="1:14">
      <c r="A125" t="s">
        <v>421</v>
      </c>
      <c r="B125" s="2">
        <v>1</v>
      </c>
      <c r="C125">
        <v>1352.39726027397</v>
      </c>
      <c r="E125" t="s">
        <v>78</v>
      </c>
      <c r="F125">
        <v>533.304794520548</v>
      </c>
      <c r="H125" t="s">
        <v>231</v>
      </c>
      <c r="I125">
        <v>2</v>
      </c>
      <c r="J125">
        <v>5564.12671232877</v>
      </c>
      <c r="L125" t="s">
        <v>323</v>
      </c>
      <c r="M125" t="s">
        <v>324</v>
      </c>
      <c r="N125">
        <v>2395.67636986301</v>
      </c>
    </row>
    <row r="126" spans="1:14">
      <c r="A126" t="s">
        <v>424</v>
      </c>
      <c r="B126" s="2">
        <v>1</v>
      </c>
      <c r="C126">
        <v>5564.12671232877</v>
      </c>
      <c r="E126" t="s">
        <v>107</v>
      </c>
      <c r="F126">
        <v>266.652397260274</v>
      </c>
      <c r="H126" t="s">
        <v>166</v>
      </c>
      <c r="I126">
        <v>1</v>
      </c>
      <c r="J126">
        <v>2897.98801369863</v>
      </c>
      <c r="L126" t="s">
        <v>327</v>
      </c>
      <c r="M126" t="s">
        <v>325</v>
      </c>
      <c r="N126">
        <v>266.652397260274</v>
      </c>
    </row>
    <row r="127" spans="1:14">
      <c r="A127" t="s">
        <v>428</v>
      </c>
      <c r="B127" s="2">
        <v>1</v>
      </c>
      <c r="C127">
        <v>266.652397260274</v>
      </c>
      <c r="E127" t="s">
        <v>110</v>
      </c>
      <c r="F127">
        <v>112.071917808219</v>
      </c>
      <c r="H127" t="s">
        <v>94</v>
      </c>
      <c r="I127">
        <v>1</v>
      </c>
      <c r="J127">
        <v>1197.8595890411</v>
      </c>
      <c r="L127" t="s">
        <v>330</v>
      </c>
      <c r="M127" t="s">
        <v>328</v>
      </c>
      <c r="N127">
        <v>2588.8698630137</v>
      </c>
    </row>
    <row r="128" spans="1:14">
      <c r="A128" t="s">
        <v>431</v>
      </c>
      <c r="B128" s="2">
        <v>1</v>
      </c>
      <c r="C128">
        <v>29365.9674657534</v>
      </c>
      <c r="E128" t="s">
        <v>89</v>
      </c>
      <c r="F128">
        <v>266.652397260274</v>
      </c>
      <c r="H128" t="s">
        <v>898</v>
      </c>
      <c r="I128">
        <v>1</v>
      </c>
      <c r="J128">
        <v>1738.78424657534</v>
      </c>
      <c r="L128" t="s">
        <v>333</v>
      </c>
      <c r="M128" t="s">
        <v>331</v>
      </c>
      <c r="N128">
        <v>490.753424657534</v>
      </c>
    </row>
    <row r="129" spans="1:14">
      <c r="A129" t="s">
        <v>434</v>
      </c>
      <c r="B129" s="2">
        <v>1</v>
      </c>
      <c r="C129">
        <v>2434.28938356164</v>
      </c>
      <c r="E129" t="s">
        <v>85</v>
      </c>
      <c r="F129">
        <v>2971.44691780822</v>
      </c>
      <c r="H129" t="s">
        <v>901</v>
      </c>
      <c r="I129">
        <v>1</v>
      </c>
      <c r="J129">
        <v>1738.78424657534</v>
      </c>
      <c r="L129" t="s">
        <v>335</v>
      </c>
      <c r="M129" t="s">
        <v>66</v>
      </c>
      <c r="N129">
        <v>266.652397260274</v>
      </c>
    </row>
    <row r="130" spans="1:14">
      <c r="A130" t="s">
        <v>436</v>
      </c>
      <c r="B130" s="2">
        <v>1</v>
      </c>
      <c r="C130">
        <v>266.652397260274</v>
      </c>
      <c r="E130" t="s">
        <v>119</v>
      </c>
      <c r="F130">
        <v>2704.83732876712</v>
      </c>
      <c r="H130" t="s">
        <v>542</v>
      </c>
      <c r="I130">
        <v>1</v>
      </c>
      <c r="J130">
        <v>1854.70890410959</v>
      </c>
      <c r="L130" t="s">
        <v>338</v>
      </c>
      <c r="M130" t="s">
        <v>336</v>
      </c>
      <c r="N130">
        <v>3709.41780821918</v>
      </c>
    </row>
    <row r="131" spans="1:14">
      <c r="A131" t="s">
        <v>439</v>
      </c>
      <c r="B131" s="2">
        <v>1</v>
      </c>
      <c r="C131">
        <v>4837.71404109589</v>
      </c>
      <c r="E131" t="s">
        <v>135</v>
      </c>
      <c r="F131">
        <v>842.380136986301</v>
      </c>
      <c r="H131" t="s">
        <v>526</v>
      </c>
      <c r="I131">
        <v>1</v>
      </c>
      <c r="J131">
        <v>1854.70890410959</v>
      </c>
      <c r="L131" t="s">
        <v>338</v>
      </c>
      <c r="M131" t="s">
        <v>339</v>
      </c>
      <c r="N131">
        <v>1854.70890410959</v>
      </c>
    </row>
    <row r="132" spans="1:14">
      <c r="A132" t="s">
        <v>444</v>
      </c>
      <c r="B132" s="2">
        <v>1</v>
      </c>
      <c r="C132">
        <v>738.013698630137</v>
      </c>
      <c r="E132" t="s">
        <v>138</v>
      </c>
      <c r="F132">
        <v>757.405821917808</v>
      </c>
      <c r="H132" t="s">
        <v>437</v>
      </c>
      <c r="I132">
        <v>1</v>
      </c>
      <c r="J132">
        <v>1854.70890410959</v>
      </c>
      <c r="L132" t="s">
        <v>342</v>
      </c>
      <c r="M132" t="s">
        <v>340</v>
      </c>
      <c r="N132">
        <v>266.652397260274</v>
      </c>
    </row>
    <row r="133" spans="1:14">
      <c r="A133" t="s">
        <v>446</v>
      </c>
      <c r="B133" s="2">
        <v>1</v>
      </c>
      <c r="C133">
        <v>5023.20205479452</v>
      </c>
      <c r="E133" t="s">
        <v>141</v>
      </c>
      <c r="F133">
        <v>231.849315068493</v>
      </c>
      <c r="H133" t="s">
        <v>529</v>
      </c>
      <c r="I133">
        <v>1</v>
      </c>
      <c r="J133">
        <v>1854.70890410959</v>
      </c>
      <c r="L133" t="s">
        <v>344</v>
      </c>
      <c r="M133" t="s">
        <v>289</v>
      </c>
      <c r="N133">
        <v>266.652397260274</v>
      </c>
    </row>
    <row r="134" spans="1:14">
      <c r="A134" t="s">
        <v>450</v>
      </c>
      <c r="B134" s="2">
        <v>1</v>
      </c>
      <c r="C134">
        <v>9582.57705479452</v>
      </c>
      <c r="E134" t="s">
        <v>144</v>
      </c>
      <c r="F134">
        <v>1584.24657534247</v>
      </c>
      <c r="H134" t="s">
        <v>199</v>
      </c>
      <c r="I134">
        <v>2</v>
      </c>
      <c r="J134">
        <v>4443.57876712329</v>
      </c>
      <c r="L134" t="s">
        <v>344</v>
      </c>
      <c r="M134" t="s">
        <v>159</v>
      </c>
      <c r="N134">
        <v>231.849315068493</v>
      </c>
    </row>
    <row r="135" spans="1:14">
      <c r="A135" t="s">
        <v>453</v>
      </c>
      <c r="B135" s="2">
        <v>1</v>
      </c>
      <c r="C135">
        <v>6955.13698630137</v>
      </c>
      <c r="E135" t="s">
        <v>153</v>
      </c>
      <c r="F135">
        <v>1120.54794520548</v>
      </c>
      <c r="H135" t="s">
        <v>250</v>
      </c>
      <c r="I135">
        <v>2</v>
      </c>
      <c r="J135">
        <v>6800.59931506849</v>
      </c>
      <c r="L135" t="s">
        <v>347</v>
      </c>
      <c r="M135" t="s">
        <v>345</v>
      </c>
      <c r="N135">
        <v>3091.18150684932</v>
      </c>
    </row>
    <row r="136" spans="1:14">
      <c r="A136" t="s">
        <v>455</v>
      </c>
      <c r="B136" s="2">
        <v>1</v>
      </c>
      <c r="C136">
        <v>231.849315068493</v>
      </c>
      <c r="E136" t="s">
        <v>147</v>
      </c>
      <c r="F136">
        <v>1545.59075342466</v>
      </c>
      <c r="H136" t="s">
        <v>818</v>
      </c>
      <c r="I136">
        <v>1</v>
      </c>
      <c r="J136">
        <v>3516.22431506849</v>
      </c>
      <c r="L136" t="s">
        <v>348</v>
      </c>
      <c r="M136" t="s">
        <v>74</v>
      </c>
      <c r="N136">
        <v>4907.2345890411</v>
      </c>
    </row>
    <row r="137" spans="1:14">
      <c r="A137" t="s">
        <v>458</v>
      </c>
      <c r="B137" s="2">
        <v>1</v>
      </c>
      <c r="C137">
        <v>3400.29965753425</v>
      </c>
      <c r="E137" t="s">
        <v>150</v>
      </c>
      <c r="F137">
        <v>2434.28938356164</v>
      </c>
      <c r="H137" t="s">
        <v>889</v>
      </c>
      <c r="I137">
        <v>1</v>
      </c>
      <c r="J137">
        <v>5177.69691780822</v>
      </c>
      <c r="L137" t="s">
        <v>351</v>
      </c>
      <c r="M137" t="s">
        <v>349</v>
      </c>
      <c r="N137">
        <v>463.698630136986</v>
      </c>
    </row>
    <row r="138" spans="1:14">
      <c r="A138" t="s">
        <v>460</v>
      </c>
      <c r="B138" s="2">
        <v>1</v>
      </c>
      <c r="C138">
        <v>564.169520547945</v>
      </c>
      <c r="E138" t="s">
        <v>160</v>
      </c>
      <c r="F138">
        <v>231.849315068493</v>
      </c>
      <c r="H138" t="s">
        <v>678</v>
      </c>
      <c r="I138">
        <v>1</v>
      </c>
      <c r="J138">
        <v>24497.4315068493</v>
      </c>
      <c r="L138" t="s">
        <v>354</v>
      </c>
      <c r="M138" t="s">
        <v>352</v>
      </c>
      <c r="N138">
        <v>3438.91267123288</v>
      </c>
    </row>
    <row r="139" spans="1:14">
      <c r="A139" t="s">
        <v>462</v>
      </c>
      <c r="B139" s="2">
        <v>1</v>
      </c>
      <c r="C139">
        <v>266.652397260274</v>
      </c>
      <c r="E139" t="s">
        <v>167</v>
      </c>
      <c r="F139">
        <v>2975.29965753425</v>
      </c>
      <c r="H139" t="s">
        <v>229</v>
      </c>
      <c r="I139">
        <v>2</v>
      </c>
      <c r="J139">
        <v>24420.1198630137</v>
      </c>
      <c r="L139" t="s">
        <v>354</v>
      </c>
      <c r="M139" t="s">
        <v>355</v>
      </c>
      <c r="N139">
        <v>8577.95376712329</v>
      </c>
    </row>
    <row r="140" spans="1:14">
      <c r="A140" t="s">
        <v>465</v>
      </c>
      <c r="B140" s="2">
        <v>1</v>
      </c>
      <c r="C140">
        <v>2357.02054794521</v>
      </c>
      <c r="E140" t="s">
        <v>171</v>
      </c>
      <c r="F140">
        <v>6877.86815068493</v>
      </c>
      <c r="H140" t="s">
        <v>512</v>
      </c>
      <c r="I140">
        <v>1</v>
      </c>
      <c r="J140">
        <v>12210.0599315068</v>
      </c>
      <c r="L140" t="s">
        <v>358</v>
      </c>
      <c r="M140" t="s">
        <v>356</v>
      </c>
      <c r="N140">
        <v>1738.78424657534</v>
      </c>
    </row>
    <row r="141" spans="1:14">
      <c r="A141" t="s">
        <v>467</v>
      </c>
      <c r="B141" s="2">
        <v>1</v>
      </c>
      <c r="C141">
        <v>363.227739726027</v>
      </c>
      <c r="E141" t="s">
        <v>175</v>
      </c>
      <c r="F141">
        <v>529.366438356164</v>
      </c>
      <c r="H141" t="s">
        <v>143</v>
      </c>
      <c r="I141">
        <v>1</v>
      </c>
      <c r="J141">
        <v>1584.24657534247</v>
      </c>
      <c r="L141" t="s">
        <v>360</v>
      </c>
      <c r="M141" t="s">
        <v>359</v>
      </c>
      <c r="N141">
        <v>3941.22431506849</v>
      </c>
    </row>
    <row r="142" spans="1:14">
      <c r="A142" t="s">
        <v>470</v>
      </c>
      <c r="B142" s="2">
        <v>1</v>
      </c>
      <c r="C142">
        <v>1120.54794520548</v>
      </c>
      <c r="E142" t="s">
        <v>186</v>
      </c>
      <c r="F142">
        <v>347.77397260274</v>
      </c>
      <c r="H142" t="s">
        <v>170</v>
      </c>
      <c r="I142">
        <v>1</v>
      </c>
      <c r="J142">
        <v>1854.70890410959</v>
      </c>
      <c r="L142" t="s">
        <v>360</v>
      </c>
      <c r="M142" t="s">
        <v>267</v>
      </c>
      <c r="N142">
        <v>401.883561643836</v>
      </c>
    </row>
    <row r="143" spans="1:14">
      <c r="A143" t="s">
        <v>473</v>
      </c>
      <c r="B143" s="2">
        <v>1</v>
      </c>
      <c r="C143">
        <v>6004.62328767123</v>
      </c>
      <c r="E143" t="s">
        <v>209</v>
      </c>
      <c r="F143">
        <v>850.085616438356</v>
      </c>
      <c r="H143" t="s">
        <v>173</v>
      </c>
      <c r="I143">
        <v>1</v>
      </c>
      <c r="J143">
        <v>1854.70890410959</v>
      </c>
      <c r="L143" t="s">
        <v>362</v>
      </c>
      <c r="M143" t="s">
        <v>289</v>
      </c>
      <c r="N143">
        <v>266.652397260274</v>
      </c>
    </row>
    <row r="144" spans="1:14">
      <c r="A144" t="s">
        <v>477</v>
      </c>
      <c r="B144" s="2">
        <v>1</v>
      </c>
      <c r="C144">
        <v>266.652397260274</v>
      </c>
      <c r="E144" t="s">
        <v>193</v>
      </c>
      <c r="F144">
        <v>490.753424657534</v>
      </c>
      <c r="H144" t="s">
        <v>271</v>
      </c>
      <c r="I144">
        <v>1</v>
      </c>
      <c r="J144">
        <v>1429.66609589041</v>
      </c>
      <c r="L144" t="s">
        <v>365</v>
      </c>
      <c r="M144" t="s">
        <v>363</v>
      </c>
      <c r="N144">
        <v>494.606164383562</v>
      </c>
    </row>
    <row r="145" spans="1:14">
      <c r="A145" t="s">
        <v>480</v>
      </c>
      <c r="B145" s="2">
        <v>1</v>
      </c>
      <c r="C145">
        <v>850.085616438356</v>
      </c>
      <c r="E145" t="s">
        <v>189</v>
      </c>
      <c r="F145">
        <v>2086.55821917808</v>
      </c>
      <c r="H145" t="s">
        <v>463</v>
      </c>
      <c r="I145">
        <v>1</v>
      </c>
      <c r="J145">
        <v>2357.02054794521</v>
      </c>
      <c r="L145" t="s">
        <v>368</v>
      </c>
      <c r="M145" t="s">
        <v>366</v>
      </c>
      <c r="N145">
        <v>231.849315068493</v>
      </c>
    </row>
    <row r="146" spans="1:14">
      <c r="A146" t="s">
        <v>483</v>
      </c>
      <c r="B146" s="2">
        <v>1</v>
      </c>
      <c r="C146">
        <v>1236.47260273973</v>
      </c>
      <c r="E146" t="s">
        <v>221</v>
      </c>
      <c r="F146">
        <v>26429.3664383562</v>
      </c>
      <c r="H146" t="s">
        <v>345</v>
      </c>
      <c r="I146">
        <v>1</v>
      </c>
      <c r="J146">
        <v>3091.18150684932</v>
      </c>
      <c r="L146" t="s">
        <v>371</v>
      </c>
      <c r="M146" t="s">
        <v>369</v>
      </c>
      <c r="N146">
        <v>3709.41780821918</v>
      </c>
    </row>
    <row r="147" spans="1:14">
      <c r="A147" t="s">
        <v>486</v>
      </c>
      <c r="B147" s="2">
        <v>1</v>
      </c>
      <c r="C147">
        <v>463.698630136986</v>
      </c>
      <c r="E147" t="s">
        <v>240</v>
      </c>
      <c r="F147">
        <v>2264.34075342466</v>
      </c>
      <c r="H147" t="s">
        <v>598</v>
      </c>
      <c r="I147">
        <v>1</v>
      </c>
      <c r="J147">
        <v>3091.18150684932</v>
      </c>
      <c r="L147" t="s">
        <v>371</v>
      </c>
      <c r="M147" t="s">
        <v>372</v>
      </c>
      <c r="N147">
        <v>3709.41780821918</v>
      </c>
    </row>
    <row r="148" spans="1:14">
      <c r="A148" t="s">
        <v>489</v>
      </c>
      <c r="B148" s="2">
        <v>1</v>
      </c>
      <c r="C148">
        <v>583.518835616438</v>
      </c>
      <c r="E148" t="s">
        <v>252</v>
      </c>
      <c r="F148">
        <v>285.958904109589</v>
      </c>
      <c r="H148" t="s">
        <v>731</v>
      </c>
      <c r="I148">
        <v>1</v>
      </c>
      <c r="J148">
        <v>2936.60102739726</v>
      </c>
      <c r="L148" t="s">
        <v>375</v>
      </c>
      <c r="M148" t="s">
        <v>373</v>
      </c>
      <c r="N148">
        <v>1120.54794520548</v>
      </c>
    </row>
    <row r="149" spans="1:14">
      <c r="A149" t="s">
        <v>492</v>
      </c>
      <c r="B149" s="2">
        <v>1</v>
      </c>
      <c r="C149">
        <v>2704.79452054795</v>
      </c>
      <c r="E149" t="s">
        <v>255</v>
      </c>
      <c r="F149">
        <v>633.732876712329</v>
      </c>
      <c r="H149" t="s">
        <v>74</v>
      </c>
      <c r="I149">
        <v>2</v>
      </c>
      <c r="J149">
        <v>9814.46917808219</v>
      </c>
      <c r="L149" t="s">
        <v>378</v>
      </c>
      <c r="M149" t="s">
        <v>376</v>
      </c>
      <c r="N149">
        <v>363.227739726027</v>
      </c>
    </row>
    <row r="150" spans="1:14">
      <c r="A150" t="s">
        <v>494</v>
      </c>
      <c r="B150" s="2">
        <v>1</v>
      </c>
      <c r="C150">
        <v>231.849315068493</v>
      </c>
      <c r="E150" t="s">
        <v>258</v>
      </c>
      <c r="F150">
        <v>266.652397260274</v>
      </c>
      <c r="H150" t="s">
        <v>601</v>
      </c>
      <c r="I150">
        <v>2</v>
      </c>
      <c r="J150">
        <v>9814.46917808219</v>
      </c>
      <c r="L150" t="s">
        <v>380</v>
      </c>
      <c r="M150" t="s">
        <v>278</v>
      </c>
      <c r="N150">
        <v>231.849315068493</v>
      </c>
    </row>
    <row r="151" spans="1:14">
      <c r="A151" t="s">
        <v>496</v>
      </c>
      <c r="B151" s="2">
        <v>1</v>
      </c>
      <c r="C151">
        <v>266.652397260274</v>
      </c>
      <c r="E151" t="s">
        <v>265</v>
      </c>
      <c r="F151">
        <v>1955.22260273973</v>
      </c>
      <c r="H151" t="s">
        <v>847</v>
      </c>
      <c r="I151">
        <v>1</v>
      </c>
      <c r="J151">
        <v>2434.28938356164</v>
      </c>
      <c r="L151" t="s">
        <v>380</v>
      </c>
      <c r="M151" t="s">
        <v>66</v>
      </c>
      <c r="N151">
        <v>266.652397260274</v>
      </c>
    </row>
    <row r="152" spans="1:14">
      <c r="A152" t="s">
        <v>499</v>
      </c>
      <c r="B152" s="2">
        <v>1</v>
      </c>
      <c r="C152">
        <v>2395.71917808219</v>
      </c>
      <c r="E152" t="s">
        <v>272</v>
      </c>
      <c r="F152">
        <v>2032.44863013699</v>
      </c>
      <c r="H152" t="s">
        <v>797</v>
      </c>
      <c r="I152">
        <v>1</v>
      </c>
      <c r="J152">
        <v>2434.28938356164</v>
      </c>
      <c r="L152" t="s">
        <v>380</v>
      </c>
      <c r="M152" t="s">
        <v>159</v>
      </c>
      <c r="N152">
        <v>231.849315068493</v>
      </c>
    </row>
    <row r="153" spans="1:14">
      <c r="A153" t="s">
        <v>502</v>
      </c>
      <c r="B153" s="2">
        <v>1</v>
      </c>
      <c r="C153">
        <v>463.698630136986</v>
      </c>
      <c r="E153" t="s">
        <v>279</v>
      </c>
      <c r="F153">
        <v>231.849315068493</v>
      </c>
      <c r="H153" t="s">
        <v>802</v>
      </c>
      <c r="I153">
        <v>1</v>
      </c>
      <c r="J153">
        <v>4173.07363013699</v>
      </c>
      <c r="L153" t="s">
        <v>382</v>
      </c>
      <c r="M153" t="s">
        <v>325</v>
      </c>
      <c r="N153">
        <v>266.652397260274</v>
      </c>
    </row>
    <row r="154" spans="1:14">
      <c r="A154" t="s">
        <v>504</v>
      </c>
      <c r="B154" s="2">
        <v>1</v>
      </c>
      <c r="C154">
        <v>266.652397260274</v>
      </c>
      <c r="E154" t="s">
        <v>282</v>
      </c>
      <c r="F154">
        <v>1800.64212328767</v>
      </c>
      <c r="H154" t="s">
        <v>490</v>
      </c>
      <c r="I154">
        <v>1</v>
      </c>
      <c r="J154">
        <v>2704.79452054795</v>
      </c>
      <c r="L154" t="s">
        <v>384</v>
      </c>
      <c r="M154" t="s">
        <v>383</v>
      </c>
      <c r="N154">
        <v>645.291095890411</v>
      </c>
    </row>
    <row r="155" spans="1:14">
      <c r="A155" t="s">
        <v>507</v>
      </c>
      <c r="B155" s="2">
        <v>1</v>
      </c>
      <c r="C155">
        <v>6646.06164383562</v>
      </c>
      <c r="E155" t="s">
        <v>290</v>
      </c>
      <c r="F155">
        <v>266.652397260274</v>
      </c>
      <c r="H155" t="s">
        <v>95</v>
      </c>
      <c r="I155">
        <v>1</v>
      </c>
      <c r="J155">
        <v>2704.79452054795</v>
      </c>
      <c r="L155" t="s">
        <v>384</v>
      </c>
      <c r="M155" t="s">
        <v>385</v>
      </c>
      <c r="N155">
        <v>3477.56849315068</v>
      </c>
    </row>
    <row r="156" spans="1:14">
      <c r="A156" t="s">
        <v>511</v>
      </c>
      <c r="B156" s="2">
        <v>1</v>
      </c>
      <c r="C156">
        <v>231.849315068493</v>
      </c>
      <c r="E156" t="s">
        <v>292</v>
      </c>
      <c r="F156">
        <v>266.652397260274</v>
      </c>
      <c r="H156" t="s">
        <v>790</v>
      </c>
      <c r="I156">
        <v>0</v>
      </c>
      <c r="J156">
        <v>0</v>
      </c>
      <c r="L156" t="s">
        <v>387</v>
      </c>
      <c r="M156" t="s">
        <v>386</v>
      </c>
      <c r="N156">
        <v>1854.70890410959</v>
      </c>
    </row>
    <row r="157" spans="1:14">
      <c r="A157" t="s">
        <v>514</v>
      </c>
      <c r="B157" s="2">
        <v>1</v>
      </c>
      <c r="C157">
        <v>12210.0599315068</v>
      </c>
      <c r="E157" t="s">
        <v>295</v>
      </c>
      <c r="F157">
        <v>2820.71917808219</v>
      </c>
      <c r="H157" t="s">
        <v>1034</v>
      </c>
      <c r="I157">
        <v>1</v>
      </c>
      <c r="J157">
        <v>401.883561643836</v>
      </c>
      <c r="L157" t="s">
        <v>388</v>
      </c>
      <c r="M157" t="s">
        <v>106</v>
      </c>
      <c r="N157">
        <v>285.958904109589</v>
      </c>
    </row>
    <row r="158" spans="1:14">
      <c r="A158" t="s">
        <v>517</v>
      </c>
      <c r="B158" s="2">
        <v>1</v>
      </c>
      <c r="C158">
        <v>463.698630136986</v>
      </c>
      <c r="E158" t="s">
        <v>297</v>
      </c>
      <c r="F158">
        <v>266.652397260274</v>
      </c>
      <c r="H158" t="s">
        <v>243</v>
      </c>
      <c r="I158">
        <v>4</v>
      </c>
      <c r="J158">
        <v>4482.19178082192</v>
      </c>
      <c r="L158" t="s">
        <v>388</v>
      </c>
      <c r="M158" t="s">
        <v>185</v>
      </c>
      <c r="N158">
        <v>347.77397260274</v>
      </c>
    </row>
    <row r="159" spans="1:14">
      <c r="A159" t="s">
        <v>519</v>
      </c>
      <c r="B159" s="2">
        <v>1</v>
      </c>
      <c r="C159">
        <v>1120.54794520548</v>
      </c>
      <c r="E159" t="s">
        <v>299</v>
      </c>
      <c r="F159">
        <v>266.652397260274</v>
      </c>
      <c r="H159" t="s">
        <v>850</v>
      </c>
      <c r="I159">
        <v>1</v>
      </c>
      <c r="J159">
        <v>2086.55821917808</v>
      </c>
      <c r="L159" t="s">
        <v>391</v>
      </c>
      <c r="M159" t="s">
        <v>389</v>
      </c>
      <c r="N159">
        <v>255.051369863014</v>
      </c>
    </row>
    <row r="160" spans="1:14">
      <c r="A160" t="s">
        <v>522</v>
      </c>
      <c r="B160" s="2">
        <v>1</v>
      </c>
      <c r="C160">
        <v>266.652397260274</v>
      </c>
      <c r="E160" t="s">
        <v>304</v>
      </c>
      <c r="F160">
        <v>231.849315068493</v>
      </c>
      <c r="H160" t="s">
        <v>369</v>
      </c>
      <c r="I160">
        <v>1</v>
      </c>
      <c r="J160">
        <v>3709.41780821918</v>
      </c>
      <c r="L160" t="s">
        <v>394</v>
      </c>
      <c r="M160" t="s">
        <v>392</v>
      </c>
      <c r="N160">
        <v>13291.9948630137</v>
      </c>
    </row>
    <row r="161" spans="1:14">
      <c r="A161" t="s">
        <v>525</v>
      </c>
      <c r="B161" s="2">
        <v>1</v>
      </c>
      <c r="C161">
        <v>266.652397260274</v>
      </c>
      <c r="E161" t="s">
        <v>306</v>
      </c>
      <c r="F161">
        <v>266.652397260274</v>
      </c>
      <c r="H161" t="s">
        <v>336</v>
      </c>
      <c r="I161">
        <v>1</v>
      </c>
      <c r="J161">
        <v>3709.41780821918</v>
      </c>
      <c r="L161" t="s">
        <v>394</v>
      </c>
      <c r="M161" t="s">
        <v>395</v>
      </c>
      <c r="N161">
        <v>12519.1780821918</v>
      </c>
    </row>
    <row r="162" spans="1:14">
      <c r="A162" t="s">
        <v>528</v>
      </c>
      <c r="B162" s="2">
        <v>1</v>
      </c>
      <c r="C162">
        <v>3709.41780821918</v>
      </c>
      <c r="E162" t="s">
        <v>308</v>
      </c>
      <c r="F162">
        <v>1120.54794520548</v>
      </c>
      <c r="H162" t="s">
        <v>372</v>
      </c>
      <c r="I162">
        <v>1</v>
      </c>
      <c r="J162">
        <v>3709.41780821918</v>
      </c>
      <c r="L162" t="s">
        <v>398</v>
      </c>
      <c r="M162" t="s">
        <v>396</v>
      </c>
      <c r="N162">
        <v>1236.47260273973</v>
      </c>
    </row>
    <row r="163" spans="1:14">
      <c r="A163" t="s">
        <v>532</v>
      </c>
      <c r="B163" s="2">
        <v>1</v>
      </c>
      <c r="C163">
        <v>6143.70719178082</v>
      </c>
      <c r="E163" t="s">
        <v>311</v>
      </c>
      <c r="F163">
        <v>2588.8698630137</v>
      </c>
      <c r="H163" t="s">
        <v>339</v>
      </c>
      <c r="I163">
        <v>1</v>
      </c>
      <c r="J163">
        <v>1854.70890410959</v>
      </c>
      <c r="L163" t="s">
        <v>400</v>
      </c>
      <c r="M163" t="s">
        <v>340</v>
      </c>
      <c r="N163">
        <v>266.652397260274</v>
      </c>
    </row>
    <row r="164" spans="1:14">
      <c r="A164" t="s">
        <v>535</v>
      </c>
      <c r="B164" s="2">
        <v>1</v>
      </c>
      <c r="C164">
        <v>4907.2345890411</v>
      </c>
      <c r="E164" t="s">
        <v>315</v>
      </c>
      <c r="F164">
        <v>7086.5154109589</v>
      </c>
      <c r="H164" t="s">
        <v>294</v>
      </c>
      <c r="I164">
        <v>1</v>
      </c>
      <c r="J164">
        <v>2820.71917808219</v>
      </c>
      <c r="L164" t="s">
        <v>400</v>
      </c>
      <c r="M164" t="s">
        <v>325</v>
      </c>
      <c r="N164">
        <v>266.652397260274</v>
      </c>
    </row>
    <row r="165" spans="1:14">
      <c r="A165" t="s">
        <v>538</v>
      </c>
      <c r="B165" s="2">
        <v>1</v>
      </c>
      <c r="C165">
        <v>1352.39726027397</v>
      </c>
      <c r="E165" t="s">
        <v>319</v>
      </c>
      <c r="F165">
        <v>3338.4845890411</v>
      </c>
      <c r="H165" t="s">
        <v>112</v>
      </c>
      <c r="I165">
        <v>1</v>
      </c>
      <c r="J165">
        <v>1738.78424657534</v>
      </c>
      <c r="L165" t="s">
        <v>402</v>
      </c>
      <c r="M165" t="s">
        <v>122</v>
      </c>
      <c r="N165">
        <v>231.849315068493</v>
      </c>
    </row>
    <row r="166" spans="1:14">
      <c r="A166" t="s">
        <v>541</v>
      </c>
      <c r="B166" s="2">
        <v>1</v>
      </c>
      <c r="C166">
        <v>3477.56849315068</v>
      </c>
      <c r="E166" t="s">
        <v>332</v>
      </c>
      <c r="F166">
        <v>490.753424657534</v>
      </c>
      <c r="H166" t="s">
        <v>1032</v>
      </c>
      <c r="I166">
        <v>1</v>
      </c>
      <c r="J166">
        <v>2357.02054794521</v>
      </c>
      <c r="L166" t="s">
        <v>405</v>
      </c>
      <c r="M166" t="s">
        <v>403</v>
      </c>
      <c r="N166">
        <v>1120.54794520548</v>
      </c>
    </row>
    <row r="167" spans="1:14">
      <c r="A167" t="s">
        <v>544</v>
      </c>
      <c r="B167" s="2">
        <v>1</v>
      </c>
      <c r="C167">
        <v>266.652397260274</v>
      </c>
      <c r="E167" t="s">
        <v>334</v>
      </c>
      <c r="F167">
        <v>266.652397260274</v>
      </c>
      <c r="H167" t="s">
        <v>619</v>
      </c>
      <c r="I167">
        <v>1</v>
      </c>
      <c r="J167">
        <v>5177.69691780822</v>
      </c>
      <c r="L167" t="s">
        <v>408</v>
      </c>
      <c r="M167" t="s">
        <v>406</v>
      </c>
      <c r="N167">
        <v>8964.38356164384</v>
      </c>
    </row>
    <row r="168" spans="1:14">
      <c r="A168" t="s">
        <v>547</v>
      </c>
      <c r="B168" s="2">
        <v>1</v>
      </c>
      <c r="C168">
        <v>2550.21404109589</v>
      </c>
      <c r="E168" t="s">
        <v>337</v>
      </c>
      <c r="F168">
        <v>5564.12671232877</v>
      </c>
      <c r="H168" t="s">
        <v>815</v>
      </c>
      <c r="I168">
        <v>1</v>
      </c>
      <c r="J168">
        <v>7650.64212328767</v>
      </c>
      <c r="L168" t="s">
        <v>411</v>
      </c>
      <c r="M168" t="s">
        <v>409</v>
      </c>
      <c r="N168">
        <v>2936.60102739726</v>
      </c>
    </row>
    <row r="169" spans="1:14">
      <c r="A169" t="s">
        <v>550</v>
      </c>
      <c r="B169" s="2">
        <v>1</v>
      </c>
      <c r="C169">
        <v>1081.97773972603</v>
      </c>
      <c r="E169" t="s">
        <v>341</v>
      </c>
      <c r="F169">
        <v>266.652397260274</v>
      </c>
      <c r="H169" t="s">
        <v>759</v>
      </c>
      <c r="I169">
        <v>1</v>
      </c>
      <c r="J169">
        <v>7650.64212328767</v>
      </c>
      <c r="L169" t="s">
        <v>411</v>
      </c>
      <c r="M169" t="s">
        <v>412</v>
      </c>
      <c r="N169">
        <v>1545.59075342466</v>
      </c>
    </row>
    <row r="170" spans="1:14">
      <c r="A170" t="s">
        <v>554</v>
      </c>
      <c r="B170" s="2">
        <v>1</v>
      </c>
      <c r="C170">
        <v>726.455479452055</v>
      </c>
      <c r="E170" t="s">
        <v>343</v>
      </c>
      <c r="F170">
        <v>498.501712328767</v>
      </c>
      <c r="H170" t="s">
        <v>674</v>
      </c>
      <c r="I170">
        <v>2</v>
      </c>
      <c r="J170">
        <v>6027.82534246575</v>
      </c>
      <c r="L170" t="s">
        <v>415</v>
      </c>
      <c r="M170" t="s">
        <v>413</v>
      </c>
      <c r="N170">
        <v>664.640410958904</v>
      </c>
    </row>
    <row r="171" spans="1:14">
      <c r="A171" t="s">
        <v>557</v>
      </c>
      <c r="B171" s="2">
        <v>1</v>
      </c>
      <c r="C171">
        <v>266.652397260274</v>
      </c>
      <c r="E171" t="s">
        <v>353</v>
      </c>
      <c r="F171">
        <v>12016.8664383562</v>
      </c>
      <c r="H171" t="s">
        <v>861</v>
      </c>
      <c r="I171">
        <v>1</v>
      </c>
      <c r="J171">
        <v>68932.7397260274</v>
      </c>
      <c r="L171" t="s">
        <v>415</v>
      </c>
      <c r="M171" t="s">
        <v>416</v>
      </c>
      <c r="N171">
        <v>316.866438356164</v>
      </c>
    </row>
    <row r="172" spans="1:14">
      <c r="A172" t="s">
        <v>560</v>
      </c>
      <c r="B172" s="2">
        <v>1</v>
      </c>
      <c r="C172">
        <v>19397.0462328767</v>
      </c>
      <c r="E172" t="s">
        <v>357</v>
      </c>
      <c r="F172">
        <v>1738.78424657534</v>
      </c>
      <c r="H172" t="s">
        <v>359</v>
      </c>
      <c r="I172">
        <v>2</v>
      </c>
      <c r="J172">
        <v>7882.44863013699</v>
      </c>
      <c r="L172" t="s">
        <v>415</v>
      </c>
      <c r="M172" t="s">
        <v>251</v>
      </c>
      <c r="N172">
        <v>316.866438356164</v>
      </c>
    </row>
    <row r="173" spans="1:14">
      <c r="A173" t="s">
        <v>563</v>
      </c>
      <c r="B173" s="2">
        <v>1</v>
      </c>
      <c r="C173">
        <v>1120.54794520548</v>
      </c>
      <c r="E173" t="s">
        <v>361</v>
      </c>
      <c r="F173">
        <v>266.652397260274</v>
      </c>
      <c r="H173" t="s">
        <v>1072</v>
      </c>
      <c r="I173">
        <v>1</v>
      </c>
      <c r="J173">
        <v>966.010273972603</v>
      </c>
      <c r="L173" t="s">
        <v>419</v>
      </c>
      <c r="M173" t="s">
        <v>417</v>
      </c>
      <c r="N173">
        <v>297.559931506849</v>
      </c>
    </row>
    <row r="174" spans="1:14">
      <c r="A174" t="s">
        <v>566</v>
      </c>
      <c r="B174" s="2">
        <v>1</v>
      </c>
      <c r="C174">
        <v>494.606164383562</v>
      </c>
      <c r="E174" t="s">
        <v>364</v>
      </c>
      <c r="F174">
        <v>494.606164383562</v>
      </c>
      <c r="H174" t="s">
        <v>907</v>
      </c>
      <c r="I174">
        <v>1</v>
      </c>
      <c r="J174">
        <v>2704.79452054795</v>
      </c>
      <c r="L174" t="s">
        <v>421</v>
      </c>
      <c r="M174" t="s">
        <v>207</v>
      </c>
      <c r="N174">
        <v>1352.39726027397</v>
      </c>
    </row>
    <row r="175" spans="1:14">
      <c r="A175" t="s">
        <v>569</v>
      </c>
      <c r="B175" s="2">
        <v>1</v>
      </c>
      <c r="C175">
        <v>3941.26712328767</v>
      </c>
      <c r="E175" t="s">
        <v>367</v>
      </c>
      <c r="F175">
        <v>231.849315068493</v>
      </c>
      <c r="H175" t="s">
        <v>1049</v>
      </c>
      <c r="I175">
        <v>1</v>
      </c>
      <c r="J175">
        <v>2357.02054794521</v>
      </c>
      <c r="L175" t="s">
        <v>424</v>
      </c>
      <c r="M175" t="s">
        <v>422</v>
      </c>
      <c r="N175">
        <v>3709.41780821918</v>
      </c>
    </row>
    <row r="176" spans="1:14">
      <c r="A176" t="s">
        <v>573</v>
      </c>
      <c r="B176" s="2">
        <v>1</v>
      </c>
      <c r="C176">
        <v>3593.49315068493</v>
      </c>
      <c r="E176" t="s">
        <v>370</v>
      </c>
      <c r="F176">
        <v>7418.83561643836</v>
      </c>
      <c r="H176" t="s">
        <v>471</v>
      </c>
      <c r="I176">
        <v>1</v>
      </c>
      <c r="J176">
        <v>2936.60102739726</v>
      </c>
      <c r="L176" t="s">
        <v>424</v>
      </c>
      <c r="M176" t="s">
        <v>425</v>
      </c>
      <c r="N176">
        <v>1854.70890410959</v>
      </c>
    </row>
    <row r="177" spans="1:14">
      <c r="A177" t="s">
        <v>577</v>
      </c>
      <c r="B177" s="2">
        <v>1</v>
      </c>
      <c r="C177">
        <v>738.013698630137</v>
      </c>
      <c r="E177" t="s">
        <v>374</v>
      </c>
      <c r="F177">
        <v>1120.54794520548</v>
      </c>
      <c r="H177" t="s">
        <v>1082</v>
      </c>
      <c r="I177">
        <v>1</v>
      </c>
      <c r="J177">
        <v>1275.12842465753</v>
      </c>
      <c r="L177" t="s">
        <v>428</v>
      </c>
      <c r="M177" t="s">
        <v>426</v>
      </c>
      <c r="N177">
        <v>266.652397260274</v>
      </c>
    </row>
    <row r="178" spans="1:14">
      <c r="A178" t="s">
        <v>580</v>
      </c>
      <c r="B178" s="2">
        <v>1</v>
      </c>
      <c r="C178">
        <v>285.958904109589</v>
      </c>
      <c r="E178" t="s">
        <v>377</v>
      </c>
      <c r="F178">
        <v>363.227739726027</v>
      </c>
      <c r="H178" t="s">
        <v>264</v>
      </c>
      <c r="I178">
        <v>1</v>
      </c>
      <c r="J178">
        <v>1584.24657534247</v>
      </c>
      <c r="L178" t="s">
        <v>431</v>
      </c>
      <c r="M178" t="s">
        <v>429</v>
      </c>
      <c r="N178">
        <v>29365.9674657534</v>
      </c>
    </row>
    <row r="179" spans="1:14">
      <c r="A179" t="s">
        <v>582</v>
      </c>
      <c r="B179" s="2">
        <v>1</v>
      </c>
      <c r="C179">
        <v>266.652397260274</v>
      </c>
      <c r="E179" t="s">
        <v>379</v>
      </c>
      <c r="F179">
        <v>730.35102739726</v>
      </c>
      <c r="H179" t="s">
        <v>281</v>
      </c>
      <c r="I179">
        <v>1</v>
      </c>
      <c r="J179">
        <v>1429.66609589041</v>
      </c>
      <c r="L179" t="s">
        <v>434</v>
      </c>
      <c r="M179" t="s">
        <v>432</v>
      </c>
      <c r="N179">
        <v>2434.28938356164</v>
      </c>
    </row>
    <row r="180" spans="1:14">
      <c r="A180" t="s">
        <v>585</v>
      </c>
      <c r="B180" s="2">
        <v>1</v>
      </c>
      <c r="C180">
        <v>266.652397260274</v>
      </c>
      <c r="E180" t="s">
        <v>381</v>
      </c>
      <c r="F180">
        <v>266.652397260274</v>
      </c>
      <c r="H180" t="s">
        <v>409</v>
      </c>
      <c r="I180">
        <v>1</v>
      </c>
      <c r="J180">
        <v>2936.60102739726</v>
      </c>
      <c r="L180" t="s">
        <v>436</v>
      </c>
      <c r="M180" t="s">
        <v>340</v>
      </c>
      <c r="N180">
        <v>266.652397260274</v>
      </c>
    </row>
    <row r="181" spans="1:14">
      <c r="A181" t="s">
        <v>587</v>
      </c>
      <c r="B181" s="2">
        <v>1</v>
      </c>
      <c r="C181">
        <v>761.258561643836</v>
      </c>
      <c r="E181" t="s">
        <v>390</v>
      </c>
      <c r="F181">
        <v>255.051369863014</v>
      </c>
      <c r="H181" t="s">
        <v>533</v>
      </c>
      <c r="I181">
        <v>1</v>
      </c>
      <c r="J181">
        <v>4907.2345890411</v>
      </c>
      <c r="L181" t="s">
        <v>439</v>
      </c>
      <c r="M181" t="s">
        <v>437</v>
      </c>
      <c r="N181">
        <v>1854.70890410959</v>
      </c>
    </row>
    <row r="182" spans="1:14">
      <c r="A182" t="s">
        <v>590</v>
      </c>
      <c r="B182" s="2">
        <v>1</v>
      </c>
      <c r="C182">
        <v>463.698630136986</v>
      </c>
      <c r="E182" t="s">
        <v>399</v>
      </c>
      <c r="F182">
        <v>533.304794520548</v>
      </c>
      <c r="H182" t="s">
        <v>474</v>
      </c>
      <c r="I182">
        <v>1</v>
      </c>
      <c r="J182">
        <v>2434.28938356164</v>
      </c>
      <c r="L182" t="s">
        <v>439</v>
      </c>
      <c r="M182" t="s">
        <v>440</v>
      </c>
      <c r="N182">
        <v>316.866438356164</v>
      </c>
    </row>
    <row r="183" spans="1:14">
      <c r="A183" t="s">
        <v>592</v>
      </c>
      <c r="B183" s="2">
        <v>1</v>
      </c>
      <c r="C183">
        <v>1120.54794520548</v>
      </c>
      <c r="E183" t="s">
        <v>404</v>
      </c>
      <c r="F183">
        <v>1120.54794520548</v>
      </c>
      <c r="H183" t="s">
        <v>1105</v>
      </c>
      <c r="I183">
        <v>1</v>
      </c>
      <c r="J183">
        <v>2434.28938356164</v>
      </c>
      <c r="L183" t="s">
        <v>439</v>
      </c>
      <c r="M183" t="s">
        <v>441</v>
      </c>
      <c r="N183">
        <v>2666.13869863014</v>
      </c>
    </row>
    <row r="184" spans="1:14">
      <c r="A184" t="s">
        <v>595</v>
      </c>
      <c r="B184" s="2">
        <v>1</v>
      </c>
      <c r="C184">
        <v>966.010273972603</v>
      </c>
      <c r="E184" t="s">
        <v>410</v>
      </c>
      <c r="F184">
        <v>4482.19178082192</v>
      </c>
      <c r="H184" t="s">
        <v>177</v>
      </c>
      <c r="I184">
        <v>1</v>
      </c>
      <c r="J184">
        <v>583.47602739726</v>
      </c>
      <c r="L184" t="s">
        <v>444</v>
      </c>
      <c r="M184" t="s">
        <v>442</v>
      </c>
      <c r="N184">
        <v>738.013698630137</v>
      </c>
    </row>
    <row r="185" spans="1:14">
      <c r="A185" t="s">
        <v>597</v>
      </c>
      <c r="B185" s="2">
        <v>1</v>
      </c>
      <c r="C185">
        <v>5525.47089041096</v>
      </c>
      <c r="E185" t="s">
        <v>418</v>
      </c>
      <c r="F185">
        <v>297.559931506849</v>
      </c>
      <c r="H185" t="s">
        <v>710</v>
      </c>
      <c r="I185">
        <v>1</v>
      </c>
      <c r="J185">
        <v>10973.6301369863</v>
      </c>
      <c r="L185" t="s">
        <v>446</v>
      </c>
      <c r="M185" t="s">
        <v>445</v>
      </c>
      <c r="N185">
        <v>2820.71917808219</v>
      </c>
    </row>
    <row r="186" spans="1:14">
      <c r="A186" t="s">
        <v>600</v>
      </c>
      <c r="B186" s="2">
        <v>1</v>
      </c>
      <c r="C186">
        <v>7998.41609589041</v>
      </c>
      <c r="E186" t="s">
        <v>423</v>
      </c>
      <c r="F186">
        <v>5564.12671232877</v>
      </c>
      <c r="H186" t="s">
        <v>448</v>
      </c>
      <c r="I186">
        <v>1</v>
      </c>
      <c r="J186">
        <v>9582.57705479452</v>
      </c>
      <c r="L186" t="s">
        <v>446</v>
      </c>
      <c r="M186" t="s">
        <v>447</v>
      </c>
      <c r="N186">
        <v>2202.48287671233</v>
      </c>
    </row>
    <row r="187" spans="1:14">
      <c r="A187" t="s">
        <v>603</v>
      </c>
      <c r="B187" s="2">
        <v>1</v>
      </c>
      <c r="C187">
        <v>792.166095890411</v>
      </c>
      <c r="E187" t="s">
        <v>427</v>
      </c>
      <c r="F187">
        <v>266.652397260274</v>
      </c>
      <c r="H187" t="s">
        <v>695</v>
      </c>
      <c r="I187">
        <v>1</v>
      </c>
      <c r="J187">
        <v>927.354452054794</v>
      </c>
      <c r="L187" t="s">
        <v>450</v>
      </c>
      <c r="M187" t="s">
        <v>448</v>
      </c>
      <c r="N187">
        <v>9582.57705479452</v>
      </c>
    </row>
    <row r="188" spans="1:14">
      <c r="A188" t="s">
        <v>605</v>
      </c>
      <c r="B188" s="2">
        <v>1</v>
      </c>
      <c r="C188">
        <v>297.559931506849</v>
      </c>
      <c r="E188" t="s">
        <v>433</v>
      </c>
      <c r="F188">
        <v>2434.28938356164</v>
      </c>
      <c r="H188" t="s">
        <v>1118</v>
      </c>
      <c r="I188">
        <v>1</v>
      </c>
      <c r="J188">
        <v>768.96404109589</v>
      </c>
      <c r="L188" t="s">
        <v>453</v>
      </c>
      <c r="M188" t="s">
        <v>451</v>
      </c>
      <c r="N188">
        <v>6955.13698630137</v>
      </c>
    </row>
    <row r="189" spans="1:14">
      <c r="A189" t="s">
        <v>608</v>
      </c>
      <c r="B189" s="2">
        <v>1</v>
      </c>
      <c r="C189">
        <v>6491.48116438356</v>
      </c>
      <c r="E189" t="s">
        <v>435</v>
      </c>
      <c r="F189">
        <v>266.652397260274</v>
      </c>
      <c r="H189" t="s">
        <v>575</v>
      </c>
      <c r="I189">
        <v>1</v>
      </c>
      <c r="J189">
        <v>738.013698630137</v>
      </c>
      <c r="L189" t="s">
        <v>455</v>
      </c>
      <c r="M189" t="s">
        <v>60</v>
      </c>
      <c r="N189">
        <v>231.849315068493</v>
      </c>
    </row>
    <row r="190" spans="1:14">
      <c r="A190" t="s">
        <v>611</v>
      </c>
      <c r="B190" s="2">
        <v>1</v>
      </c>
      <c r="C190">
        <v>1275.12842465753</v>
      </c>
      <c r="E190" t="s">
        <v>454</v>
      </c>
      <c r="F190">
        <v>231.849315068493</v>
      </c>
      <c r="H190" t="s">
        <v>478</v>
      </c>
      <c r="I190">
        <v>1</v>
      </c>
      <c r="J190">
        <v>850.085616438356</v>
      </c>
      <c r="L190" t="s">
        <v>458</v>
      </c>
      <c r="M190" t="s">
        <v>456</v>
      </c>
      <c r="N190">
        <v>3400.29965753425</v>
      </c>
    </row>
    <row r="191" spans="1:14">
      <c r="A191" t="s">
        <v>613</v>
      </c>
      <c r="B191" s="2">
        <v>1</v>
      </c>
      <c r="C191">
        <v>2202.48287671233</v>
      </c>
      <c r="E191" t="s">
        <v>457</v>
      </c>
      <c r="F191">
        <v>3400.29965753425</v>
      </c>
      <c r="H191" t="s">
        <v>620</v>
      </c>
      <c r="I191">
        <v>1</v>
      </c>
      <c r="J191">
        <v>2588.8698630137</v>
      </c>
      <c r="L191" t="s">
        <v>460</v>
      </c>
      <c r="M191" t="s">
        <v>459</v>
      </c>
      <c r="N191">
        <v>564.169520547945</v>
      </c>
    </row>
    <row r="192" spans="1:14">
      <c r="A192" t="s">
        <v>615</v>
      </c>
      <c r="B192" s="2">
        <v>1</v>
      </c>
      <c r="C192">
        <v>595.119863013699</v>
      </c>
      <c r="E192" t="s">
        <v>461</v>
      </c>
      <c r="F192">
        <v>266.652397260274</v>
      </c>
      <c r="H192" t="s">
        <v>267</v>
      </c>
      <c r="I192">
        <v>3</v>
      </c>
      <c r="J192">
        <v>1143.83561643836</v>
      </c>
      <c r="L192" t="s">
        <v>462</v>
      </c>
      <c r="M192" t="s">
        <v>340</v>
      </c>
      <c r="N192">
        <v>266.652397260274</v>
      </c>
    </row>
    <row r="193" spans="1:14">
      <c r="A193" t="s">
        <v>618</v>
      </c>
      <c r="B193" s="2">
        <v>1</v>
      </c>
      <c r="C193">
        <v>7611.98630136986</v>
      </c>
      <c r="E193" t="s">
        <v>464</v>
      </c>
      <c r="F193">
        <v>2357.02054794521</v>
      </c>
      <c r="H193" t="s">
        <v>475</v>
      </c>
      <c r="I193">
        <v>3</v>
      </c>
      <c r="J193">
        <v>1205.65068493151</v>
      </c>
      <c r="L193" t="s">
        <v>465</v>
      </c>
      <c r="M193" t="s">
        <v>463</v>
      </c>
      <c r="N193">
        <v>2357.02054794521</v>
      </c>
    </row>
    <row r="194" spans="1:14">
      <c r="A194" t="s">
        <v>621</v>
      </c>
      <c r="B194" s="2">
        <v>1</v>
      </c>
      <c r="C194">
        <v>3554.8801369863</v>
      </c>
      <c r="E194" t="s">
        <v>469</v>
      </c>
      <c r="F194">
        <v>1120.54794520548</v>
      </c>
      <c r="H194" t="s">
        <v>191</v>
      </c>
      <c r="I194">
        <v>1</v>
      </c>
      <c r="J194">
        <v>1043.27910958904</v>
      </c>
      <c r="L194" t="s">
        <v>467</v>
      </c>
      <c r="M194" t="s">
        <v>376</v>
      </c>
      <c r="N194">
        <v>363.227739726027</v>
      </c>
    </row>
    <row r="195" spans="1:14">
      <c r="A195" t="s">
        <v>625</v>
      </c>
      <c r="B195" s="2">
        <v>1</v>
      </c>
      <c r="C195">
        <v>2357.06335616438</v>
      </c>
      <c r="E195" t="s">
        <v>476</v>
      </c>
      <c r="F195">
        <v>266.652397260274</v>
      </c>
      <c r="H195" t="s">
        <v>412</v>
      </c>
      <c r="I195">
        <v>2</v>
      </c>
      <c r="J195">
        <v>3091.18150684932</v>
      </c>
      <c r="L195" t="s">
        <v>470</v>
      </c>
      <c r="M195" t="s">
        <v>468</v>
      </c>
      <c r="N195">
        <v>1120.54794520548</v>
      </c>
    </row>
    <row r="196" spans="1:14">
      <c r="A196" t="s">
        <v>628</v>
      </c>
      <c r="B196" s="2">
        <v>1</v>
      </c>
      <c r="C196">
        <v>297.559931506849</v>
      </c>
      <c r="E196" t="s">
        <v>482</v>
      </c>
      <c r="F196">
        <v>1236.47260273973</v>
      </c>
      <c r="H196" t="s">
        <v>468</v>
      </c>
      <c r="I196">
        <v>5</v>
      </c>
      <c r="J196">
        <v>5602.7397260274</v>
      </c>
      <c r="L196" t="s">
        <v>473</v>
      </c>
      <c r="M196" t="s">
        <v>471</v>
      </c>
      <c r="N196">
        <v>2936.60102739726</v>
      </c>
    </row>
    <row r="197" spans="1:14">
      <c r="A197" t="s">
        <v>630</v>
      </c>
      <c r="B197" s="2">
        <v>1</v>
      </c>
      <c r="C197">
        <v>4675.3852739726</v>
      </c>
      <c r="E197" t="s">
        <v>485</v>
      </c>
      <c r="F197">
        <v>463.698630136986</v>
      </c>
      <c r="H197" t="s">
        <v>923</v>
      </c>
      <c r="I197">
        <v>1</v>
      </c>
      <c r="J197">
        <v>2820.71917808219</v>
      </c>
      <c r="L197" t="s">
        <v>473</v>
      </c>
      <c r="M197" t="s">
        <v>474</v>
      </c>
      <c r="N197">
        <v>2434.28938356164</v>
      </c>
    </row>
    <row r="198" spans="1:14">
      <c r="A198" t="s">
        <v>633</v>
      </c>
      <c r="B198" s="2">
        <v>1</v>
      </c>
      <c r="C198">
        <v>564.169520547945</v>
      </c>
      <c r="E198" t="s">
        <v>493</v>
      </c>
      <c r="F198">
        <v>231.849315068493</v>
      </c>
      <c r="H198" t="s">
        <v>445</v>
      </c>
      <c r="I198">
        <v>2</v>
      </c>
      <c r="J198">
        <v>5641.43835616438</v>
      </c>
      <c r="L198" t="s">
        <v>473</v>
      </c>
      <c r="M198" t="s">
        <v>475</v>
      </c>
      <c r="N198">
        <v>401.883561643836</v>
      </c>
    </row>
    <row r="199" spans="1:14">
      <c r="A199" t="s">
        <v>636</v>
      </c>
      <c r="B199" s="2">
        <v>1</v>
      </c>
      <c r="C199">
        <v>5911.90068493151</v>
      </c>
      <c r="E199" t="s">
        <v>495</v>
      </c>
      <c r="F199">
        <v>266.652397260274</v>
      </c>
      <c r="H199" t="s">
        <v>447</v>
      </c>
      <c r="I199">
        <v>1</v>
      </c>
      <c r="J199">
        <v>2202.48287671233</v>
      </c>
      <c r="L199" t="s">
        <v>473</v>
      </c>
      <c r="M199" t="s">
        <v>278</v>
      </c>
      <c r="N199">
        <v>231.849315068493</v>
      </c>
    </row>
    <row r="200" spans="1:14">
      <c r="A200" t="s">
        <v>639</v>
      </c>
      <c r="B200" s="2">
        <v>1</v>
      </c>
      <c r="C200">
        <v>297.559931506849</v>
      </c>
      <c r="E200" t="s">
        <v>498</v>
      </c>
      <c r="F200">
        <v>2395.71917808219</v>
      </c>
      <c r="H200" t="s">
        <v>440</v>
      </c>
      <c r="I200">
        <v>1</v>
      </c>
      <c r="J200">
        <v>316.866438356164</v>
      </c>
      <c r="L200" t="s">
        <v>477</v>
      </c>
      <c r="M200" t="s">
        <v>340</v>
      </c>
      <c r="N200">
        <v>266.652397260274</v>
      </c>
    </row>
    <row r="201" spans="1:14">
      <c r="A201" t="s">
        <v>642</v>
      </c>
      <c r="B201" s="2">
        <v>1</v>
      </c>
      <c r="C201">
        <v>7341.52397260274</v>
      </c>
      <c r="E201" t="s">
        <v>501</v>
      </c>
      <c r="F201">
        <v>463.698630136986</v>
      </c>
      <c r="H201" t="s">
        <v>951</v>
      </c>
      <c r="I201">
        <v>2</v>
      </c>
      <c r="J201">
        <v>571.917808219178</v>
      </c>
      <c r="L201" t="s">
        <v>480</v>
      </c>
      <c r="M201" t="s">
        <v>478</v>
      </c>
      <c r="N201">
        <v>850.085616438356</v>
      </c>
    </row>
    <row r="202" spans="1:14">
      <c r="A202" t="s">
        <v>646</v>
      </c>
      <c r="B202" s="2">
        <v>1</v>
      </c>
      <c r="C202">
        <v>2086.55821917808</v>
      </c>
      <c r="E202" t="s">
        <v>503</v>
      </c>
      <c r="F202">
        <v>266.652397260274</v>
      </c>
      <c r="H202" t="s">
        <v>487</v>
      </c>
      <c r="I202">
        <v>1</v>
      </c>
      <c r="J202">
        <v>316.866438356164</v>
      </c>
      <c r="L202" t="s">
        <v>483</v>
      </c>
      <c r="M202" t="s">
        <v>481</v>
      </c>
      <c r="N202">
        <v>1236.47260273973</v>
      </c>
    </row>
    <row r="203" spans="1:14">
      <c r="A203" t="s">
        <v>649</v>
      </c>
      <c r="B203" s="2">
        <v>1</v>
      </c>
      <c r="C203">
        <v>1970.63356164384</v>
      </c>
      <c r="E203" t="s">
        <v>510</v>
      </c>
      <c r="F203">
        <v>231.849315068493</v>
      </c>
      <c r="H203" t="s">
        <v>552</v>
      </c>
      <c r="I203">
        <v>1</v>
      </c>
      <c r="J203">
        <v>726.455479452055</v>
      </c>
      <c r="L203" t="s">
        <v>486</v>
      </c>
      <c r="M203" t="s">
        <v>484</v>
      </c>
      <c r="N203">
        <v>463.698630136986</v>
      </c>
    </row>
    <row r="204" spans="1:14">
      <c r="A204" t="s">
        <v>651</v>
      </c>
      <c r="B204" s="2">
        <v>1</v>
      </c>
      <c r="C204">
        <v>1545.59075342466</v>
      </c>
      <c r="E204" t="s">
        <v>513</v>
      </c>
      <c r="F204">
        <v>12210.0599315068</v>
      </c>
      <c r="H204" t="s">
        <v>389</v>
      </c>
      <c r="I204">
        <v>1</v>
      </c>
      <c r="J204">
        <v>255.051369863014</v>
      </c>
      <c r="L204" t="s">
        <v>489</v>
      </c>
      <c r="M204" t="s">
        <v>487</v>
      </c>
      <c r="N204">
        <v>316.866438356164</v>
      </c>
    </row>
    <row r="205" spans="1:14">
      <c r="A205" t="s">
        <v>653</v>
      </c>
      <c r="B205" s="2">
        <v>1</v>
      </c>
      <c r="C205">
        <v>297.559931506849</v>
      </c>
      <c r="E205" t="s">
        <v>516</v>
      </c>
      <c r="F205">
        <v>463.698630136986</v>
      </c>
      <c r="H205" t="s">
        <v>578</v>
      </c>
      <c r="I205">
        <v>1</v>
      </c>
      <c r="J205">
        <v>285.958904109589</v>
      </c>
      <c r="L205" t="s">
        <v>489</v>
      </c>
      <c r="M205" t="s">
        <v>289</v>
      </c>
      <c r="N205">
        <v>266.652397260274</v>
      </c>
    </row>
    <row r="206" spans="1:14">
      <c r="A206" t="s">
        <v>655</v>
      </c>
      <c r="B206" s="2">
        <v>1</v>
      </c>
      <c r="C206">
        <v>1120.54794520548</v>
      </c>
      <c r="E206" t="s">
        <v>565</v>
      </c>
      <c r="F206">
        <v>494.606164383562</v>
      </c>
      <c r="H206" t="s">
        <v>106</v>
      </c>
      <c r="I206">
        <v>2</v>
      </c>
      <c r="J206">
        <v>541.010273972603</v>
      </c>
      <c r="L206" t="s">
        <v>492</v>
      </c>
      <c r="M206" t="s">
        <v>490</v>
      </c>
      <c r="N206">
        <v>2704.79452054795</v>
      </c>
    </row>
    <row r="207" spans="1:14">
      <c r="A207" t="s">
        <v>658</v>
      </c>
      <c r="B207" s="2">
        <v>1</v>
      </c>
      <c r="C207">
        <v>6738.78424657534</v>
      </c>
      <c r="E207" t="s">
        <v>568</v>
      </c>
      <c r="F207">
        <v>7897.98801369863</v>
      </c>
      <c r="H207" t="s">
        <v>413</v>
      </c>
      <c r="I207">
        <v>1</v>
      </c>
      <c r="J207">
        <v>664.640410958904</v>
      </c>
      <c r="L207" t="s">
        <v>494</v>
      </c>
      <c r="M207" t="s">
        <v>278</v>
      </c>
      <c r="N207">
        <v>231.849315068493</v>
      </c>
    </row>
    <row r="208" spans="1:14">
      <c r="A208" t="s">
        <v>661</v>
      </c>
      <c r="B208" s="2">
        <v>1</v>
      </c>
      <c r="C208">
        <v>3941.22431506849</v>
      </c>
      <c r="E208" t="s">
        <v>562</v>
      </c>
      <c r="F208">
        <v>1120.54794520548</v>
      </c>
      <c r="H208" t="s">
        <v>185</v>
      </c>
      <c r="I208">
        <v>2</v>
      </c>
      <c r="J208">
        <v>695.547945205479</v>
      </c>
      <c r="L208" t="s">
        <v>496</v>
      </c>
      <c r="M208" t="s">
        <v>340</v>
      </c>
      <c r="N208">
        <v>266.652397260274</v>
      </c>
    </row>
    <row r="209" spans="1:14">
      <c r="A209" t="s">
        <v>664</v>
      </c>
      <c r="B209" s="2">
        <v>1</v>
      </c>
      <c r="C209">
        <v>332.320205479452</v>
      </c>
      <c r="E209" t="s">
        <v>559</v>
      </c>
      <c r="F209">
        <v>19397.0462328767</v>
      </c>
      <c r="H209" t="s">
        <v>1069</v>
      </c>
      <c r="I209">
        <v>1</v>
      </c>
      <c r="J209">
        <v>316.866438356164</v>
      </c>
      <c r="L209" t="s">
        <v>499</v>
      </c>
      <c r="M209" t="s">
        <v>497</v>
      </c>
      <c r="N209">
        <v>1197.8595890411</v>
      </c>
    </row>
    <row r="210" spans="1:14">
      <c r="A210" t="s">
        <v>666</v>
      </c>
      <c r="B210" s="2">
        <v>1</v>
      </c>
      <c r="C210">
        <v>3941.22431506849</v>
      </c>
      <c r="E210" t="s">
        <v>546</v>
      </c>
      <c r="F210">
        <v>2550.21404109589</v>
      </c>
      <c r="H210" t="s">
        <v>274</v>
      </c>
      <c r="I210">
        <v>2</v>
      </c>
      <c r="J210">
        <v>1236.47260273973</v>
      </c>
      <c r="L210" t="s">
        <v>499</v>
      </c>
      <c r="M210" t="s">
        <v>500</v>
      </c>
      <c r="N210">
        <v>1197.8595890411</v>
      </c>
    </row>
    <row r="211" spans="1:14">
      <c r="A211" t="s">
        <v>668</v>
      </c>
      <c r="B211" s="2">
        <v>1</v>
      </c>
      <c r="C211">
        <v>3941.22431506849</v>
      </c>
      <c r="E211" t="s">
        <v>543</v>
      </c>
      <c r="F211">
        <v>266.652397260274</v>
      </c>
      <c r="H211" t="s">
        <v>220</v>
      </c>
      <c r="I211">
        <v>1</v>
      </c>
      <c r="J211">
        <v>26429.3664383562</v>
      </c>
      <c r="L211" t="s">
        <v>502</v>
      </c>
      <c r="M211" t="s">
        <v>349</v>
      </c>
      <c r="N211">
        <v>463.698630136986</v>
      </c>
    </row>
    <row r="212" spans="1:14">
      <c r="A212" t="s">
        <v>671</v>
      </c>
      <c r="B212" s="2">
        <v>1</v>
      </c>
      <c r="C212">
        <v>8577.95376712329</v>
      </c>
      <c r="E212" t="s">
        <v>540</v>
      </c>
      <c r="F212">
        <v>3477.56849315068</v>
      </c>
      <c r="H212" t="s">
        <v>301</v>
      </c>
      <c r="I212">
        <v>1</v>
      </c>
      <c r="J212">
        <v>7882.44863013699</v>
      </c>
      <c r="L212" t="s">
        <v>504</v>
      </c>
      <c r="M212" t="s">
        <v>289</v>
      </c>
      <c r="N212">
        <v>266.652397260274</v>
      </c>
    </row>
    <row r="213" spans="1:14">
      <c r="A213" t="s">
        <v>673</v>
      </c>
      <c r="B213" s="2">
        <v>1</v>
      </c>
      <c r="C213">
        <v>6414.21232876712</v>
      </c>
      <c r="E213" t="s">
        <v>537</v>
      </c>
      <c r="F213">
        <v>1352.39726027397</v>
      </c>
      <c r="H213" t="s">
        <v>679</v>
      </c>
      <c r="I213">
        <v>1</v>
      </c>
      <c r="J213">
        <v>14142.0376712329</v>
      </c>
      <c r="L213" t="s">
        <v>507</v>
      </c>
      <c r="M213" t="s">
        <v>505</v>
      </c>
      <c r="N213">
        <v>2897.98801369863</v>
      </c>
    </row>
    <row r="214" spans="1:14">
      <c r="A214" t="s">
        <v>677</v>
      </c>
      <c r="B214" s="2">
        <v>1</v>
      </c>
      <c r="C214">
        <v>31375.2568493151</v>
      </c>
      <c r="E214" t="s">
        <v>534</v>
      </c>
      <c r="F214">
        <v>4907.2345890411</v>
      </c>
      <c r="H214" t="s">
        <v>392</v>
      </c>
      <c r="I214">
        <v>1</v>
      </c>
      <c r="J214">
        <v>13291.9948630137</v>
      </c>
      <c r="L214" t="s">
        <v>507</v>
      </c>
      <c r="M214" t="s">
        <v>508</v>
      </c>
      <c r="N214">
        <v>1661.5154109589</v>
      </c>
    </row>
    <row r="215" spans="1:14">
      <c r="A215" t="s">
        <v>681</v>
      </c>
      <c r="B215" s="2">
        <v>1</v>
      </c>
      <c r="C215">
        <v>14142.0376712329</v>
      </c>
      <c r="E215" t="s">
        <v>524</v>
      </c>
      <c r="F215">
        <v>266.652397260274</v>
      </c>
      <c r="H215" t="s">
        <v>762</v>
      </c>
      <c r="I215">
        <v>1</v>
      </c>
      <c r="J215">
        <v>7341.52397260274</v>
      </c>
      <c r="L215" t="s">
        <v>507</v>
      </c>
      <c r="M215" t="s">
        <v>509</v>
      </c>
      <c r="N215">
        <v>2086.55821917808</v>
      </c>
    </row>
    <row r="216" spans="1:14">
      <c r="A216" t="s">
        <v>683</v>
      </c>
      <c r="B216" s="2">
        <v>1</v>
      </c>
      <c r="C216">
        <v>3168.45034246575</v>
      </c>
      <c r="E216" t="s">
        <v>521</v>
      </c>
      <c r="F216">
        <v>266.652397260274</v>
      </c>
      <c r="H216" t="s">
        <v>317</v>
      </c>
      <c r="I216">
        <v>1</v>
      </c>
      <c r="J216">
        <v>6452.82534246575</v>
      </c>
      <c r="L216" t="s">
        <v>511</v>
      </c>
      <c r="M216" t="s">
        <v>278</v>
      </c>
      <c r="N216">
        <v>231.849315068493</v>
      </c>
    </row>
    <row r="217" spans="1:14">
      <c r="A217" t="s">
        <v>686</v>
      </c>
      <c r="B217" s="2">
        <v>1</v>
      </c>
      <c r="C217">
        <v>6839.21232876712</v>
      </c>
      <c r="E217" t="s">
        <v>518</v>
      </c>
      <c r="F217">
        <v>1120.54794520548</v>
      </c>
      <c r="H217" t="s">
        <v>682</v>
      </c>
      <c r="I217">
        <v>1</v>
      </c>
      <c r="J217">
        <v>3168.45034246575</v>
      </c>
      <c r="L217" t="s">
        <v>514</v>
      </c>
      <c r="M217" t="s">
        <v>512</v>
      </c>
      <c r="N217">
        <v>12210.0599315068</v>
      </c>
    </row>
    <row r="218" spans="1:14">
      <c r="A218" t="s">
        <v>688</v>
      </c>
      <c r="B218" s="2">
        <v>1</v>
      </c>
      <c r="C218">
        <v>297.559931506849</v>
      </c>
      <c r="E218" t="s">
        <v>986</v>
      </c>
      <c r="F218">
        <v>494.606164383562</v>
      </c>
      <c r="H218" t="s">
        <v>456</v>
      </c>
      <c r="I218">
        <v>1</v>
      </c>
      <c r="J218">
        <v>3400.29965753425</v>
      </c>
      <c r="L218" t="s">
        <v>517</v>
      </c>
      <c r="M218" t="s">
        <v>515</v>
      </c>
      <c r="N218">
        <v>463.698630136986</v>
      </c>
    </row>
    <row r="219" spans="1:14">
      <c r="A219" t="s">
        <v>691</v>
      </c>
      <c r="B219" s="2">
        <v>1</v>
      </c>
      <c r="C219">
        <v>297.559931506849</v>
      </c>
      <c r="E219" t="s">
        <v>113</v>
      </c>
      <c r="F219">
        <v>1738.78424657534</v>
      </c>
      <c r="H219" t="s">
        <v>720</v>
      </c>
      <c r="I219">
        <v>1</v>
      </c>
      <c r="J219">
        <v>2163.82705479452</v>
      </c>
      <c r="L219" t="s">
        <v>519</v>
      </c>
      <c r="M219" t="s">
        <v>403</v>
      </c>
      <c r="N219">
        <v>1120.54794520548</v>
      </c>
    </row>
    <row r="220" spans="1:14">
      <c r="A220" t="s">
        <v>694</v>
      </c>
      <c r="B220" s="2">
        <v>1</v>
      </c>
      <c r="C220">
        <v>2588.8698630137</v>
      </c>
      <c r="E220" t="s">
        <v>641</v>
      </c>
      <c r="F220">
        <v>7341.52397260274</v>
      </c>
      <c r="H220" t="s">
        <v>558</v>
      </c>
      <c r="I220">
        <v>1</v>
      </c>
      <c r="J220">
        <v>9737.15753424657</v>
      </c>
      <c r="L220" t="s">
        <v>522</v>
      </c>
      <c r="M220" t="s">
        <v>520</v>
      </c>
      <c r="N220">
        <v>266.652397260274</v>
      </c>
    </row>
    <row r="221" spans="1:14">
      <c r="A221" t="s">
        <v>697</v>
      </c>
      <c r="B221" s="2">
        <v>1</v>
      </c>
      <c r="C221">
        <v>927.354452054794</v>
      </c>
      <c r="E221" t="s">
        <v>599</v>
      </c>
      <c r="F221">
        <v>7998.41609589041</v>
      </c>
      <c r="H221" t="s">
        <v>902</v>
      </c>
      <c r="I221">
        <v>1</v>
      </c>
      <c r="J221">
        <v>4173.07363013699</v>
      </c>
      <c r="L221" t="s">
        <v>525</v>
      </c>
      <c r="M221" t="s">
        <v>523</v>
      </c>
      <c r="N221">
        <v>266.652397260274</v>
      </c>
    </row>
    <row r="222" spans="1:14">
      <c r="A222" t="s">
        <v>699</v>
      </c>
      <c r="B222" s="2">
        <v>1</v>
      </c>
      <c r="C222">
        <v>3748.07363013699</v>
      </c>
      <c r="E222" t="s">
        <v>1070</v>
      </c>
      <c r="F222">
        <v>316.866438356164</v>
      </c>
      <c r="H222" t="s">
        <v>749</v>
      </c>
      <c r="I222">
        <v>1</v>
      </c>
      <c r="J222">
        <v>3168.45034246575</v>
      </c>
      <c r="L222" t="s">
        <v>528</v>
      </c>
      <c r="M222" t="s">
        <v>526</v>
      </c>
      <c r="N222">
        <v>1854.70890410959</v>
      </c>
    </row>
    <row r="223" spans="1:14">
      <c r="A223" t="s">
        <v>702</v>
      </c>
      <c r="B223" s="2">
        <v>1</v>
      </c>
      <c r="C223">
        <v>4907.2345890411</v>
      </c>
      <c r="E223" t="s">
        <v>768</v>
      </c>
      <c r="F223">
        <v>297.559931506849</v>
      </c>
      <c r="H223" t="s">
        <v>545</v>
      </c>
      <c r="I223">
        <v>1</v>
      </c>
      <c r="J223">
        <v>2550.21404109589</v>
      </c>
      <c r="L223" t="s">
        <v>528</v>
      </c>
      <c r="M223" t="s">
        <v>529</v>
      </c>
      <c r="N223">
        <v>1854.70890410959</v>
      </c>
    </row>
    <row r="224" spans="1:14">
      <c r="A224" t="s">
        <v>704</v>
      </c>
      <c r="B224" s="2">
        <v>1</v>
      </c>
      <c r="C224">
        <v>297.559931506849</v>
      </c>
      <c r="E224" t="s">
        <v>1106</v>
      </c>
      <c r="F224">
        <v>2434.28938356164</v>
      </c>
      <c r="H224" t="s">
        <v>793</v>
      </c>
      <c r="I224">
        <v>1</v>
      </c>
      <c r="J224">
        <v>2009.28938356164</v>
      </c>
      <c r="L224" t="s">
        <v>532</v>
      </c>
      <c r="M224" t="s">
        <v>530</v>
      </c>
      <c r="N224">
        <v>6143.70719178082</v>
      </c>
    </row>
    <row r="225" spans="1:14">
      <c r="A225" t="s">
        <v>707</v>
      </c>
      <c r="B225" s="2">
        <v>1</v>
      </c>
      <c r="C225">
        <v>1120.54794520548</v>
      </c>
      <c r="E225" t="s">
        <v>1111</v>
      </c>
      <c r="F225">
        <v>564.169520547945</v>
      </c>
      <c r="H225" t="s">
        <v>796</v>
      </c>
      <c r="I225">
        <v>1</v>
      </c>
      <c r="J225">
        <v>2009.28938356164</v>
      </c>
      <c r="L225" t="s">
        <v>535</v>
      </c>
      <c r="M225" t="s">
        <v>533</v>
      </c>
      <c r="N225">
        <v>4907.2345890411</v>
      </c>
    </row>
    <row r="226" spans="1:14">
      <c r="A226" t="s">
        <v>709</v>
      </c>
      <c r="B226" s="2">
        <v>1</v>
      </c>
      <c r="C226">
        <v>1738.78424657534</v>
      </c>
      <c r="E226" t="s">
        <v>862</v>
      </c>
      <c r="F226">
        <v>68932.7397260274</v>
      </c>
      <c r="H226" t="s">
        <v>441</v>
      </c>
      <c r="I226">
        <v>1</v>
      </c>
      <c r="J226">
        <v>2666.13869863014</v>
      </c>
      <c r="L226" t="s">
        <v>538</v>
      </c>
      <c r="M226" t="s">
        <v>536</v>
      </c>
      <c r="N226">
        <v>1352.39726027397</v>
      </c>
    </row>
    <row r="227" spans="1:14">
      <c r="A227" t="s">
        <v>711</v>
      </c>
      <c r="B227" s="2">
        <v>1</v>
      </c>
      <c r="C227">
        <v>10973.6301369863</v>
      </c>
      <c r="E227" t="s">
        <v>285</v>
      </c>
      <c r="F227">
        <v>966.010273972603</v>
      </c>
      <c r="H227" t="s">
        <v>970</v>
      </c>
      <c r="I227">
        <v>1</v>
      </c>
      <c r="J227">
        <v>3052.52568493151</v>
      </c>
      <c r="L227" t="s">
        <v>541</v>
      </c>
      <c r="M227" t="s">
        <v>539</v>
      </c>
      <c r="N227">
        <v>1622.8595890411</v>
      </c>
    </row>
    <row r="228" spans="1:14">
      <c r="A228" t="s">
        <v>714</v>
      </c>
      <c r="B228" s="2">
        <v>1</v>
      </c>
      <c r="C228">
        <v>297.559931506849</v>
      </c>
      <c r="E228" t="s">
        <v>132</v>
      </c>
      <c r="F228">
        <v>266.652397260274</v>
      </c>
      <c r="H228" t="s">
        <v>1040</v>
      </c>
      <c r="I228">
        <v>1</v>
      </c>
      <c r="J228">
        <v>3052.52568493151</v>
      </c>
      <c r="L228" t="s">
        <v>541</v>
      </c>
      <c r="M228" t="s">
        <v>542</v>
      </c>
      <c r="N228">
        <v>1854.70890410959</v>
      </c>
    </row>
    <row r="229" spans="1:14">
      <c r="A229" t="s">
        <v>716</v>
      </c>
      <c r="B229" s="2">
        <v>1</v>
      </c>
      <c r="C229">
        <v>5204.79452054795</v>
      </c>
      <c r="E229" t="s">
        <v>217</v>
      </c>
      <c r="F229">
        <v>4057.14897260274</v>
      </c>
      <c r="H229" t="s">
        <v>1066</v>
      </c>
      <c r="I229">
        <v>1</v>
      </c>
      <c r="J229">
        <v>3052.52568493151</v>
      </c>
      <c r="L229" t="s">
        <v>544</v>
      </c>
      <c r="M229" t="s">
        <v>81</v>
      </c>
      <c r="N229">
        <v>266.652397260274</v>
      </c>
    </row>
    <row r="230" spans="1:14">
      <c r="A230" t="s">
        <v>719</v>
      </c>
      <c r="B230" s="2">
        <v>1</v>
      </c>
      <c r="C230">
        <v>4443.53595890411</v>
      </c>
      <c r="E230" t="s">
        <v>670</v>
      </c>
      <c r="F230">
        <v>8577.95376712329</v>
      </c>
      <c r="H230" t="s">
        <v>1036</v>
      </c>
      <c r="I230">
        <v>1</v>
      </c>
      <c r="J230">
        <v>6955.13698630137</v>
      </c>
      <c r="L230" t="s">
        <v>547</v>
      </c>
      <c r="M230" t="s">
        <v>545</v>
      </c>
      <c r="N230">
        <v>2550.21404109589</v>
      </c>
    </row>
    <row r="231" spans="1:14">
      <c r="A231" t="s">
        <v>722</v>
      </c>
      <c r="B231" s="2">
        <v>1</v>
      </c>
      <c r="C231">
        <v>2163.82705479452</v>
      </c>
      <c r="E231" t="s">
        <v>553</v>
      </c>
      <c r="F231">
        <v>726.455479452055</v>
      </c>
      <c r="H231" t="s">
        <v>451</v>
      </c>
      <c r="I231">
        <v>1</v>
      </c>
      <c r="J231">
        <v>6955.13698630137</v>
      </c>
      <c r="L231" t="s">
        <v>550</v>
      </c>
      <c r="M231" t="s">
        <v>548</v>
      </c>
      <c r="N231">
        <v>517.808219178082</v>
      </c>
    </row>
    <row r="232" spans="1:14">
      <c r="A232" t="s">
        <v>724</v>
      </c>
      <c r="B232" s="2">
        <v>1</v>
      </c>
      <c r="C232">
        <v>3013.91267123288</v>
      </c>
      <c r="E232" t="s">
        <v>732</v>
      </c>
      <c r="F232">
        <v>2936.60102739726</v>
      </c>
      <c r="H232" t="s">
        <v>908</v>
      </c>
      <c r="I232">
        <v>1</v>
      </c>
      <c r="J232">
        <v>10741.7808219178</v>
      </c>
      <c r="L232" t="s">
        <v>550</v>
      </c>
      <c r="M232" t="s">
        <v>551</v>
      </c>
      <c r="N232">
        <v>564.169520547945</v>
      </c>
    </row>
    <row r="233" spans="1:14">
      <c r="A233" t="s">
        <v>726</v>
      </c>
      <c r="B233" s="2">
        <v>1</v>
      </c>
      <c r="C233">
        <v>1120.54794520548</v>
      </c>
      <c r="E233" t="s">
        <v>82</v>
      </c>
      <c r="F233">
        <v>266.652397260274</v>
      </c>
      <c r="H233" t="s">
        <v>233</v>
      </c>
      <c r="I233">
        <v>1</v>
      </c>
      <c r="J233">
        <v>2782.06335616438</v>
      </c>
      <c r="L233" t="s">
        <v>554</v>
      </c>
      <c r="M233" t="s">
        <v>552</v>
      </c>
      <c r="N233">
        <v>726.455479452055</v>
      </c>
    </row>
    <row r="234" spans="1:14">
      <c r="A234" t="s">
        <v>729</v>
      </c>
      <c r="B234" s="2">
        <v>1</v>
      </c>
      <c r="C234">
        <v>1058.77568493151</v>
      </c>
      <c r="E234" t="s">
        <v>810</v>
      </c>
      <c r="F234">
        <v>517.808219178082</v>
      </c>
      <c r="H234" t="s">
        <v>999</v>
      </c>
      <c r="I234">
        <v>1</v>
      </c>
      <c r="J234">
        <v>3284.375</v>
      </c>
      <c r="L234" t="s">
        <v>557</v>
      </c>
      <c r="M234" t="s">
        <v>555</v>
      </c>
      <c r="N234">
        <v>266.652397260274</v>
      </c>
    </row>
    <row r="235" spans="1:14">
      <c r="A235" t="s">
        <v>733</v>
      </c>
      <c r="B235" s="2">
        <v>1</v>
      </c>
      <c r="C235">
        <v>2936.60102739726</v>
      </c>
      <c r="E235" t="s">
        <v>549</v>
      </c>
      <c r="F235">
        <v>1081.97773972603</v>
      </c>
      <c r="H235" t="s">
        <v>979</v>
      </c>
      <c r="I235">
        <v>1</v>
      </c>
      <c r="J235">
        <v>9118.92123287671</v>
      </c>
      <c r="L235" t="s">
        <v>560</v>
      </c>
      <c r="M235" t="s">
        <v>558</v>
      </c>
      <c r="N235">
        <v>9737.15753424657</v>
      </c>
    </row>
    <row r="236" spans="1:14">
      <c r="A236" t="s">
        <v>735</v>
      </c>
      <c r="B236" s="2">
        <v>1</v>
      </c>
      <c r="C236">
        <v>1738.78424657534</v>
      </c>
      <c r="E236" t="s">
        <v>556</v>
      </c>
      <c r="F236">
        <v>266.652397260274</v>
      </c>
      <c r="H236" t="s">
        <v>765</v>
      </c>
      <c r="I236">
        <v>1</v>
      </c>
      <c r="J236">
        <v>4559.46061643836</v>
      </c>
      <c r="L236" t="s">
        <v>560</v>
      </c>
      <c r="M236" t="s">
        <v>561</v>
      </c>
      <c r="N236">
        <v>9659.88869863014</v>
      </c>
    </row>
    <row r="237" spans="1:14">
      <c r="A237" t="s">
        <v>737</v>
      </c>
      <c r="B237" s="2">
        <v>1</v>
      </c>
      <c r="C237">
        <v>1120.54794520548</v>
      </c>
      <c r="E237" t="s">
        <v>576</v>
      </c>
      <c r="F237">
        <v>738.013698630137</v>
      </c>
      <c r="H237" t="s">
        <v>746</v>
      </c>
      <c r="I237">
        <v>1</v>
      </c>
      <c r="J237">
        <v>21638.0993150685</v>
      </c>
      <c r="L237" t="s">
        <v>563</v>
      </c>
      <c r="M237" t="s">
        <v>403</v>
      </c>
      <c r="N237">
        <v>1120.54794520548</v>
      </c>
    </row>
    <row r="238" spans="1:14">
      <c r="A238" t="s">
        <v>739</v>
      </c>
      <c r="B238" s="2">
        <v>1</v>
      </c>
      <c r="C238">
        <v>297.559931506849</v>
      </c>
      <c r="E238" t="s">
        <v>581</v>
      </c>
      <c r="F238">
        <v>266.652397260274</v>
      </c>
      <c r="H238" t="s">
        <v>1012</v>
      </c>
      <c r="I238">
        <v>1</v>
      </c>
      <c r="J238">
        <v>25811.1729452055</v>
      </c>
      <c r="L238" t="s">
        <v>566</v>
      </c>
      <c r="M238" t="s">
        <v>564</v>
      </c>
      <c r="N238">
        <v>494.606164383562</v>
      </c>
    </row>
    <row r="239" spans="1:14">
      <c r="A239" t="s">
        <v>742</v>
      </c>
      <c r="B239" s="2">
        <v>1</v>
      </c>
      <c r="C239">
        <v>2434.28938356164</v>
      </c>
      <c r="E239" t="s">
        <v>584</v>
      </c>
      <c r="F239">
        <v>266.652397260274</v>
      </c>
      <c r="H239" t="s">
        <v>429</v>
      </c>
      <c r="I239">
        <v>1</v>
      </c>
      <c r="J239">
        <v>29365.9674657534</v>
      </c>
      <c r="L239" t="s">
        <v>569</v>
      </c>
      <c r="M239" t="s">
        <v>567</v>
      </c>
      <c r="N239">
        <v>2086.55821917808</v>
      </c>
    </row>
    <row r="240" spans="1:14">
      <c r="A240" t="s">
        <v>745</v>
      </c>
      <c r="B240" s="2">
        <v>1</v>
      </c>
      <c r="C240">
        <v>463.698630136986</v>
      </c>
      <c r="E240" t="s">
        <v>586</v>
      </c>
      <c r="F240">
        <v>761.258561643836</v>
      </c>
      <c r="H240" t="s">
        <v>1043</v>
      </c>
      <c r="I240">
        <v>1</v>
      </c>
      <c r="J240">
        <v>91189.0410958904</v>
      </c>
      <c r="L240" t="s">
        <v>569</v>
      </c>
      <c r="M240" t="s">
        <v>570</v>
      </c>
      <c r="N240">
        <v>1854.70890410959</v>
      </c>
    </row>
    <row r="241" spans="1:14">
      <c r="A241" t="s">
        <v>748</v>
      </c>
      <c r="B241" s="2">
        <v>1</v>
      </c>
      <c r="C241">
        <v>21638.0993150685</v>
      </c>
      <c r="E241" t="s">
        <v>591</v>
      </c>
      <c r="F241">
        <v>1120.54794520548</v>
      </c>
      <c r="H241" t="s">
        <v>1123</v>
      </c>
      <c r="I241">
        <v>1</v>
      </c>
      <c r="J241">
        <v>175422.988013699</v>
      </c>
      <c r="L241" t="s">
        <v>573</v>
      </c>
      <c r="M241" t="s">
        <v>571</v>
      </c>
      <c r="N241">
        <v>1236.47260273973</v>
      </c>
    </row>
    <row r="242" spans="1:14">
      <c r="A242" t="s">
        <v>751</v>
      </c>
      <c r="B242" s="2">
        <v>1</v>
      </c>
      <c r="C242">
        <v>3168.45034246575</v>
      </c>
      <c r="E242" t="s">
        <v>594</v>
      </c>
      <c r="F242">
        <v>966.010273972603</v>
      </c>
      <c r="H242" t="s">
        <v>1023</v>
      </c>
      <c r="I242">
        <v>1</v>
      </c>
      <c r="J242">
        <v>4404.92294520548</v>
      </c>
      <c r="L242" t="s">
        <v>573</v>
      </c>
      <c r="M242" t="s">
        <v>574</v>
      </c>
      <c r="N242">
        <v>2357.02054794521</v>
      </c>
    </row>
    <row r="243" spans="1:14">
      <c r="A243" t="s">
        <v>753</v>
      </c>
      <c r="B243" s="2">
        <v>1</v>
      </c>
      <c r="C243">
        <v>297.559931506849</v>
      </c>
      <c r="E243" t="s">
        <v>612</v>
      </c>
      <c r="F243">
        <v>2202.48287671233</v>
      </c>
      <c r="H243" t="s">
        <v>1061</v>
      </c>
      <c r="I243">
        <v>1</v>
      </c>
      <c r="J243">
        <v>5370.8904109589</v>
      </c>
      <c r="L243" t="s">
        <v>577</v>
      </c>
      <c r="M243" t="s">
        <v>575</v>
      </c>
      <c r="N243">
        <v>738.013698630137</v>
      </c>
    </row>
    <row r="244" spans="1:14">
      <c r="A244" t="s">
        <v>755</v>
      </c>
      <c r="B244" s="2">
        <v>1</v>
      </c>
      <c r="C244">
        <v>1120.54794520548</v>
      </c>
      <c r="E244" t="s">
        <v>627</v>
      </c>
      <c r="F244">
        <v>297.559931506849</v>
      </c>
      <c r="H244" t="s">
        <v>684</v>
      </c>
      <c r="I244">
        <v>1</v>
      </c>
      <c r="J244">
        <v>6839.21232876712</v>
      </c>
      <c r="L244" t="s">
        <v>580</v>
      </c>
      <c r="M244" t="s">
        <v>578</v>
      </c>
      <c r="N244">
        <v>285.958904109589</v>
      </c>
    </row>
    <row r="245" spans="1:14">
      <c r="A245" t="s">
        <v>758</v>
      </c>
      <c r="B245" s="2">
        <v>1</v>
      </c>
      <c r="C245">
        <v>660.744863013699</v>
      </c>
      <c r="E245" t="s">
        <v>632</v>
      </c>
      <c r="F245">
        <v>564.169520547945</v>
      </c>
      <c r="H245" t="s">
        <v>1003</v>
      </c>
      <c r="I245">
        <v>1</v>
      </c>
      <c r="J245">
        <v>10046.2756849315</v>
      </c>
      <c r="L245" t="s">
        <v>582</v>
      </c>
      <c r="M245" t="s">
        <v>84</v>
      </c>
      <c r="N245">
        <v>266.652397260274</v>
      </c>
    </row>
    <row r="246" spans="1:14">
      <c r="A246" t="s">
        <v>761</v>
      </c>
      <c r="B246" s="2">
        <v>1</v>
      </c>
      <c r="C246">
        <v>7650.64212328767</v>
      </c>
      <c r="E246" t="s">
        <v>654</v>
      </c>
      <c r="F246">
        <v>1120.54794520548</v>
      </c>
      <c r="H246" t="s">
        <v>778</v>
      </c>
      <c r="I246">
        <v>1</v>
      </c>
      <c r="J246">
        <v>16460.4023972603</v>
      </c>
      <c r="L246" t="s">
        <v>585</v>
      </c>
      <c r="M246" t="s">
        <v>583</v>
      </c>
      <c r="N246">
        <v>266.652397260274</v>
      </c>
    </row>
    <row r="247" spans="1:14">
      <c r="A247" t="s">
        <v>764</v>
      </c>
      <c r="B247" s="2">
        <v>1</v>
      </c>
      <c r="C247">
        <v>11900.9845890411</v>
      </c>
      <c r="E247" t="s">
        <v>645</v>
      </c>
      <c r="F247">
        <v>2086.55821917808</v>
      </c>
      <c r="H247" t="s">
        <v>385</v>
      </c>
      <c r="I247">
        <v>1</v>
      </c>
      <c r="J247">
        <v>3477.56849315068</v>
      </c>
      <c r="L247" t="s">
        <v>587</v>
      </c>
      <c r="M247" t="s">
        <v>564</v>
      </c>
      <c r="N247">
        <v>494.606164383562</v>
      </c>
    </row>
    <row r="248" spans="1:14">
      <c r="A248" t="s">
        <v>767</v>
      </c>
      <c r="B248" s="2">
        <v>1</v>
      </c>
      <c r="C248">
        <v>463.698630136986</v>
      </c>
      <c r="E248" t="s">
        <v>648</v>
      </c>
      <c r="F248">
        <v>1970.63356164384</v>
      </c>
      <c r="H248" t="s">
        <v>944</v>
      </c>
      <c r="I248">
        <v>1</v>
      </c>
      <c r="J248">
        <v>16614.9828767123</v>
      </c>
      <c r="L248" t="s">
        <v>587</v>
      </c>
      <c r="M248" t="s">
        <v>588</v>
      </c>
      <c r="N248">
        <v>266.652397260274</v>
      </c>
    </row>
    <row r="249" spans="1:14">
      <c r="A249" t="s">
        <v>769</v>
      </c>
      <c r="B249" s="2">
        <v>1</v>
      </c>
      <c r="C249">
        <v>297.559931506849</v>
      </c>
      <c r="E249" t="s">
        <v>1015</v>
      </c>
      <c r="F249">
        <v>1854.70890410959</v>
      </c>
      <c r="H249" t="s">
        <v>787</v>
      </c>
      <c r="I249">
        <v>1</v>
      </c>
      <c r="J249">
        <v>11360.0171232877</v>
      </c>
      <c r="L249" t="s">
        <v>590</v>
      </c>
      <c r="M249" t="s">
        <v>484</v>
      </c>
      <c r="N249">
        <v>463.698630136986</v>
      </c>
    </row>
    <row r="250" spans="1:14">
      <c r="A250" t="s">
        <v>772</v>
      </c>
      <c r="B250" s="2">
        <v>1</v>
      </c>
      <c r="C250">
        <v>2163.82705479452</v>
      </c>
      <c r="E250" t="s">
        <v>650</v>
      </c>
      <c r="F250">
        <v>1545.59075342466</v>
      </c>
      <c r="H250" t="s">
        <v>395</v>
      </c>
      <c r="I250">
        <v>1</v>
      </c>
      <c r="J250">
        <v>12519.1780821918</v>
      </c>
      <c r="L250" t="s">
        <v>592</v>
      </c>
      <c r="M250" t="s">
        <v>468</v>
      </c>
      <c r="N250">
        <v>1120.54794520548</v>
      </c>
    </row>
    <row r="251" spans="1:14">
      <c r="A251" t="s">
        <v>775</v>
      </c>
      <c r="B251" s="2">
        <v>1</v>
      </c>
      <c r="C251">
        <v>610.530821917808</v>
      </c>
      <c r="E251" t="s">
        <v>652</v>
      </c>
      <c r="F251">
        <v>297.559931506849</v>
      </c>
      <c r="H251" t="s">
        <v>355</v>
      </c>
      <c r="I251">
        <v>1</v>
      </c>
      <c r="J251">
        <v>8577.95376712329</v>
      </c>
      <c r="L251" t="s">
        <v>595</v>
      </c>
      <c r="M251" t="s">
        <v>593</v>
      </c>
      <c r="N251">
        <v>966.010273972603</v>
      </c>
    </row>
    <row r="252" spans="1:14">
      <c r="A252" t="s">
        <v>777</v>
      </c>
      <c r="B252" s="2">
        <v>1</v>
      </c>
      <c r="C252">
        <v>332.320205479452</v>
      </c>
      <c r="E252" t="s">
        <v>663</v>
      </c>
      <c r="F252">
        <v>332.320205479452</v>
      </c>
      <c r="H252" t="s">
        <v>1038</v>
      </c>
      <c r="I252">
        <v>1</v>
      </c>
      <c r="J252">
        <v>11437.2859589041</v>
      </c>
      <c r="L252" t="s">
        <v>597</v>
      </c>
      <c r="M252" t="s">
        <v>596</v>
      </c>
      <c r="N252">
        <v>3091.18150684932</v>
      </c>
    </row>
    <row r="253" spans="1:14">
      <c r="A253" t="s">
        <v>780</v>
      </c>
      <c r="B253" s="2">
        <v>1</v>
      </c>
      <c r="C253">
        <v>16460.4023972603</v>
      </c>
      <c r="E253" t="s">
        <v>665</v>
      </c>
      <c r="F253">
        <v>3941.22431506849</v>
      </c>
      <c r="H253" t="s">
        <v>406</v>
      </c>
      <c r="I253">
        <v>1</v>
      </c>
      <c r="J253">
        <v>8964.38356164384</v>
      </c>
      <c r="L253" t="s">
        <v>597</v>
      </c>
      <c r="M253" t="s">
        <v>432</v>
      </c>
      <c r="N253">
        <v>2434.28938356164</v>
      </c>
    </row>
    <row r="254" spans="1:14">
      <c r="A254" t="s">
        <v>781</v>
      </c>
      <c r="B254" s="2">
        <v>1</v>
      </c>
      <c r="C254">
        <v>297.559931506849</v>
      </c>
      <c r="E254" t="s">
        <v>680</v>
      </c>
      <c r="F254">
        <v>14142.0376712329</v>
      </c>
      <c r="H254" t="s">
        <v>236</v>
      </c>
      <c r="I254">
        <v>1</v>
      </c>
      <c r="J254">
        <v>14064.7688356164</v>
      </c>
      <c r="L254" t="s">
        <v>600</v>
      </c>
      <c r="M254" t="s">
        <v>598</v>
      </c>
      <c r="N254">
        <v>3091.18150684932</v>
      </c>
    </row>
    <row r="255" spans="1:14">
      <c r="A255" t="s">
        <v>783</v>
      </c>
      <c r="B255" s="2">
        <v>1</v>
      </c>
      <c r="C255">
        <v>297.559931506849</v>
      </c>
      <c r="E255" t="s">
        <v>685</v>
      </c>
      <c r="F255">
        <v>6839.21232876712</v>
      </c>
      <c r="H255" t="s">
        <v>911</v>
      </c>
      <c r="I255">
        <v>1</v>
      </c>
      <c r="J255">
        <v>4559.46061643836</v>
      </c>
      <c r="L255" t="s">
        <v>600</v>
      </c>
      <c r="M255" t="s">
        <v>601</v>
      </c>
      <c r="N255">
        <v>4907.2345890411</v>
      </c>
    </row>
    <row r="256" spans="1:14">
      <c r="A256" t="s">
        <v>786</v>
      </c>
      <c r="B256" s="2">
        <v>1</v>
      </c>
      <c r="C256">
        <v>2357.02054794521</v>
      </c>
      <c r="E256" t="s">
        <v>690</v>
      </c>
      <c r="F256">
        <v>297.559931506849</v>
      </c>
      <c r="H256" t="s">
        <v>561</v>
      </c>
      <c r="I256">
        <v>1</v>
      </c>
      <c r="J256">
        <v>9659.88869863014</v>
      </c>
      <c r="L256" t="s">
        <v>603</v>
      </c>
      <c r="M256" t="s">
        <v>564</v>
      </c>
      <c r="N256">
        <v>494.606164383562</v>
      </c>
    </row>
    <row r="257" spans="1:14">
      <c r="A257" t="s">
        <v>789</v>
      </c>
      <c r="B257" s="2">
        <v>1</v>
      </c>
      <c r="C257">
        <v>11360.0171232877</v>
      </c>
      <c r="E257" t="s">
        <v>696</v>
      </c>
      <c r="F257">
        <v>927.354452054794</v>
      </c>
      <c r="H257" t="s">
        <v>1002</v>
      </c>
      <c r="I257">
        <v>1</v>
      </c>
      <c r="J257">
        <v>2395.67636986301</v>
      </c>
      <c r="L257" t="s">
        <v>603</v>
      </c>
      <c r="M257" t="s">
        <v>588</v>
      </c>
      <c r="N257">
        <v>297.559931506849</v>
      </c>
    </row>
    <row r="258" spans="1:14">
      <c r="A258" t="s">
        <v>792</v>
      </c>
      <c r="B258" s="2">
        <v>1</v>
      </c>
      <c r="C258">
        <v>2704.79452054795</v>
      </c>
      <c r="E258" t="s">
        <v>698</v>
      </c>
      <c r="F258">
        <v>14721.7037671233</v>
      </c>
      <c r="H258" t="s">
        <v>321</v>
      </c>
      <c r="I258">
        <v>1</v>
      </c>
      <c r="J258">
        <v>2395.67636986301</v>
      </c>
      <c r="L258" t="s">
        <v>605</v>
      </c>
      <c r="M258" t="s">
        <v>583</v>
      </c>
      <c r="N258">
        <v>297.559931506849</v>
      </c>
    </row>
    <row r="259" spans="1:14">
      <c r="A259" t="s">
        <v>795</v>
      </c>
      <c r="B259" s="2">
        <v>1</v>
      </c>
      <c r="C259">
        <v>4018.57876712329</v>
      </c>
      <c r="E259" t="s">
        <v>708</v>
      </c>
      <c r="F259">
        <v>1738.78424657534</v>
      </c>
      <c r="H259" t="s">
        <v>324</v>
      </c>
      <c r="I259">
        <v>1</v>
      </c>
      <c r="J259">
        <v>2395.67636986301</v>
      </c>
      <c r="L259" t="s">
        <v>608</v>
      </c>
      <c r="M259" t="s">
        <v>606</v>
      </c>
      <c r="N259">
        <v>2202.48287671233</v>
      </c>
    </row>
    <row r="260" spans="1:14">
      <c r="A260" t="s">
        <v>798</v>
      </c>
      <c r="B260" s="2">
        <v>1</v>
      </c>
      <c r="C260">
        <v>2434.28938356164</v>
      </c>
      <c r="E260" t="s">
        <v>718</v>
      </c>
      <c r="F260">
        <v>4443.53595890411</v>
      </c>
      <c r="H260" t="s">
        <v>137</v>
      </c>
      <c r="I260">
        <v>2</v>
      </c>
      <c r="J260">
        <v>981.506849315069</v>
      </c>
      <c r="L260" t="s">
        <v>608</v>
      </c>
      <c r="M260" t="s">
        <v>609</v>
      </c>
      <c r="N260">
        <v>4288.99828767123</v>
      </c>
    </row>
    <row r="261" spans="1:14">
      <c r="A261" t="s">
        <v>799</v>
      </c>
      <c r="B261" s="2">
        <v>-1</v>
      </c>
      <c r="C261">
        <v>-2704.79452054795</v>
      </c>
      <c r="E261" t="s">
        <v>713</v>
      </c>
      <c r="F261">
        <v>297.559931506849</v>
      </c>
      <c r="H261" t="s">
        <v>201</v>
      </c>
      <c r="I261">
        <v>1</v>
      </c>
      <c r="J261">
        <v>490.753424657534</v>
      </c>
      <c r="L261" t="s">
        <v>611</v>
      </c>
      <c r="M261" t="s">
        <v>610</v>
      </c>
      <c r="N261">
        <v>1275.12842465753</v>
      </c>
    </row>
    <row r="262" spans="1:14">
      <c r="A262" t="s">
        <v>801</v>
      </c>
      <c r="B262" s="2">
        <v>1</v>
      </c>
      <c r="C262">
        <v>3338.4845890411</v>
      </c>
      <c r="E262" t="s">
        <v>721</v>
      </c>
      <c r="F262">
        <v>2163.82705479452</v>
      </c>
      <c r="H262" t="s">
        <v>809</v>
      </c>
      <c r="I262">
        <v>1</v>
      </c>
      <c r="J262">
        <v>517.808219178082</v>
      </c>
      <c r="L262" t="s">
        <v>613</v>
      </c>
      <c r="M262" t="s">
        <v>606</v>
      </c>
      <c r="N262">
        <v>2202.48287671233</v>
      </c>
    </row>
    <row r="263" spans="1:14">
      <c r="A263" t="s">
        <v>804</v>
      </c>
      <c r="B263" s="2">
        <v>1</v>
      </c>
      <c r="C263">
        <v>4173.07363013699</v>
      </c>
      <c r="E263" t="s">
        <v>723</v>
      </c>
      <c r="F263">
        <v>3013.91267123288</v>
      </c>
      <c r="H263" t="s">
        <v>134</v>
      </c>
      <c r="I263">
        <v>1</v>
      </c>
      <c r="J263">
        <v>494.606164383562</v>
      </c>
      <c r="L263" t="s">
        <v>615</v>
      </c>
      <c r="M263" t="s">
        <v>66</v>
      </c>
      <c r="N263">
        <v>297.559931506849</v>
      </c>
    </row>
    <row r="264" spans="1:14">
      <c r="A264" t="s">
        <v>807</v>
      </c>
      <c r="B264" s="2">
        <v>1</v>
      </c>
      <c r="C264">
        <v>4211.72945205479</v>
      </c>
      <c r="E264" t="s">
        <v>725</v>
      </c>
      <c r="F264">
        <v>1120.54794520548</v>
      </c>
      <c r="H264" t="s">
        <v>131</v>
      </c>
      <c r="I264">
        <v>1</v>
      </c>
      <c r="J264">
        <v>266.652397260274</v>
      </c>
      <c r="L264" t="s">
        <v>615</v>
      </c>
      <c r="M264" t="s">
        <v>588</v>
      </c>
      <c r="N264">
        <v>297.559931506849</v>
      </c>
    </row>
    <row r="265" spans="1:14">
      <c r="A265" t="s">
        <v>811</v>
      </c>
      <c r="B265" s="2">
        <v>1</v>
      </c>
      <c r="C265">
        <v>517.808219178082</v>
      </c>
      <c r="E265" t="s">
        <v>734</v>
      </c>
      <c r="F265">
        <v>1738.78424657534</v>
      </c>
      <c r="H265" t="s">
        <v>841</v>
      </c>
      <c r="I265">
        <v>1</v>
      </c>
      <c r="J265">
        <v>297.559931506849</v>
      </c>
      <c r="L265" t="s">
        <v>618</v>
      </c>
      <c r="M265" t="s">
        <v>616</v>
      </c>
      <c r="N265">
        <v>2434.28938356164</v>
      </c>
    </row>
    <row r="266" spans="1:14">
      <c r="A266" t="s">
        <v>814</v>
      </c>
      <c r="B266" s="2">
        <v>1</v>
      </c>
      <c r="C266">
        <v>1043.27910958904</v>
      </c>
      <c r="E266" t="s">
        <v>736</v>
      </c>
      <c r="F266">
        <v>1120.54794520548</v>
      </c>
      <c r="H266" t="s">
        <v>426</v>
      </c>
      <c r="I266">
        <v>1</v>
      </c>
      <c r="J266">
        <v>266.652397260274</v>
      </c>
      <c r="L266" t="s">
        <v>618</v>
      </c>
      <c r="M266" t="s">
        <v>619</v>
      </c>
      <c r="N266">
        <v>5177.69691780822</v>
      </c>
    </row>
    <row r="267" spans="1:14">
      <c r="A267" t="s">
        <v>817</v>
      </c>
      <c r="B267" s="2">
        <v>1</v>
      </c>
      <c r="C267">
        <v>7650.64212328767</v>
      </c>
      <c r="E267" t="s">
        <v>754</v>
      </c>
      <c r="F267">
        <v>1120.54794520548</v>
      </c>
      <c r="H267" t="s">
        <v>548</v>
      </c>
      <c r="I267">
        <v>1</v>
      </c>
      <c r="J267">
        <v>517.808219178082</v>
      </c>
      <c r="L267" t="s">
        <v>621</v>
      </c>
      <c r="M267" t="s">
        <v>620</v>
      </c>
      <c r="N267">
        <v>2588.8698630137</v>
      </c>
    </row>
    <row r="268" spans="1:14">
      <c r="A268" t="s">
        <v>820</v>
      </c>
      <c r="B268" s="2">
        <v>1</v>
      </c>
      <c r="C268">
        <v>3516.22431506849</v>
      </c>
      <c r="E268" t="s">
        <v>757</v>
      </c>
      <c r="F268">
        <v>660.744863013699</v>
      </c>
      <c r="H268" t="s">
        <v>122</v>
      </c>
      <c r="I268">
        <v>3</v>
      </c>
      <c r="J268">
        <v>761.258561643836</v>
      </c>
      <c r="L268" t="s">
        <v>621</v>
      </c>
      <c r="M268" t="s">
        <v>622</v>
      </c>
      <c r="N268">
        <v>966.010273972603</v>
      </c>
    </row>
    <row r="269" spans="1:14">
      <c r="A269" t="s">
        <v>822</v>
      </c>
      <c r="B269" s="2">
        <v>1</v>
      </c>
      <c r="C269">
        <v>6375.51369863014</v>
      </c>
      <c r="E269" t="s">
        <v>766</v>
      </c>
      <c r="F269">
        <v>463.698630136986</v>
      </c>
      <c r="H269" t="s">
        <v>278</v>
      </c>
      <c r="I269">
        <v>6</v>
      </c>
      <c r="J269">
        <v>1391.09589041096</v>
      </c>
      <c r="L269" t="s">
        <v>625</v>
      </c>
      <c r="M269" t="s">
        <v>623</v>
      </c>
      <c r="N269">
        <v>1081.93493150685</v>
      </c>
    </row>
    <row r="270" spans="1:14">
      <c r="A270" t="s">
        <v>826</v>
      </c>
      <c r="B270" s="2">
        <v>1</v>
      </c>
      <c r="C270">
        <v>529.366438356164</v>
      </c>
      <c r="E270" t="s">
        <v>774</v>
      </c>
      <c r="F270">
        <v>610.530821917808</v>
      </c>
      <c r="H270" t="s">
        <v>77</v>
      </c>
      <c r="I270">
        <v>3</v>
      </c>
      <c r="J270">
        <v>799.957191780822</v>
      </c>
      <c r="L270" t="s">
        <v>625</v>
      </c>
      <c r="M270" t="s">
        <v>626</v>
      </c>
      <c r="N270">
        <v>1275.12842465753</v>
      </c>
    </row>
    <row r="271" spans="1:14">
      <c r="A271" t="s">
        <v>829</v>
      </c>
      <c r="B271" s="2">
        <v>1</v>
      </c>
      <c r="C271">
        <v>8268.87842465753</v>
      </c>
      <c r="E271" t="s">
        <v>776</v>
      </c>
      <c r="F271">
        <v>629.880136986301</v>
      </c>
      <c r="H271" t="s">
        <v>289</v>
      </c>
      <c r="I271">
        <v>7</v>
      </c>
      <c r="J271">
        <v>1866.56678082192</v>
      </c>
      <c r="L271" t="s">
        <v>628</v>
      </c>
      <c r="M271" t="s">
        <v>520</v>
      </c>
      <c r="N271">
        <v>297.559931506849</v>
      </c>
    </row>
    <row r="272" spans="1:14">
      <c r="A272" t="s">
        <v>833</v>
      </c>
      <c r="B272" s="2">
        <v>1</v>
      </c>
      <c r="C272">
        <v>297.559931506849</v>
      </c>
      <c r="E272" t="s">
        <v>782</v>
      </c>
      <c r="F272">
        <v>297.559931506849</v>
      </c>
      <c r="H272" t="s">
        <v>773</v>
      </c>
      <c r="I272">
        <v>1</v>
      </c>
      <c r="J272">
        <v>610.530821917808</v>
      </c>
      <c r="L272" t="s">
        <v>630</v>
      </c>
      <c r="M272" t="s">
        <v>629</v>
      </c>
      <c r="N272">
        <v>4675.3852739726</v>
      </c>
    </row>
    <row r="273" spans="1:14">
      <c r="A273" t="s">
        <v>835</v>
      </c>
      <c r="B273" s="2">
        <v>1</v>
      </c>
      <c r="C273">
        <v>363.227739726027</v>
      </c>
      <c r="E273" t="s">
        <v>785</v>
      </c>
      <c r="F273">
        <v>2357.02054794521</v>
      </c>
      <c r="H273" t="s">
        <v>1077</v>
      </c>
      <c r="I273">
        <v>1</v>
      </c>
      <c r="J273">
        <v>583.47602739726</v>
      </c>
      <c r="L273" t="s">
        <v>633</v>
      </c>
      <c r="M273" t="s">
        <v>631</v>
      </c>
      <c r="N273">
        <v>564.169520547945</v>
      </c>
    </row>
    <row r="274" spans="1:14">
      <c r="A274" t="s">
        <v>837</v>
      </c>
      <c r="B274" s="2">
        <v>1</v>
      </c>
      <c r="C274">
        <v>401.883561643836</v>
      </c>
      <c r="E274" t="s">
        <v>794</v>
      </c>
      <c r="F274">
        <v>4018.57876712329</v>
      </c>
      <c r="H274" t="s">
        <v>1019</v>
      </c>
      <c r="I274">
        <v>1</v>
      </c>
      <c r="J274">
        <v>583.47602739726</v>
      </c>
      <c r="L274" t="s">
        <v>636</v>
      </c>
      <c r="M274" t="s">
        <v>634</v>
      </c>
      <c r="N274">
        <v>3323.03082191781</v>
      </c>
    </row>
    <row r="275" spans="1:14">
      <c r="A275" t="s">
        <v>840</v>
      </c>
      <c r="B275" s="2">
        <v>1</v>
      </c>
      <c r="C275">
        <v>2434.28938356164</v>
      </c>
      <c r="E275" t="s">
        <v>813</v>
      </c>
      <c r="F275">
        <v>1043.27910958904</v>
      </c>
      <c r="H275" t="s">
        <v>340</v>
      </c>
      <c r="I275">
        <v>6</v>
      </c>
      <c r="J275">
        <v>1599.91438356164</v>
      </c>
      <c r="L275" t="s">
        <v>636</v>
      </c>
      <c r="M275" t="s">
        <v>637</v>
      </c>
      <c r="N275">
        <v>2588.8698630137</v>
      </c>
    </row>
    <row r="276" spans="1:14">
      <c r="A276" t="s">
        <v>843</v>
      </c>
      <c r="B276" s="2">
        <v>1</v>
      </c>
      <c r="C276">
        <v>297.559931506849</v>
      </c>
      <c r="E276" t="s">
        <v>816</v>
      </c>
      <c r="F276">
        <v>7650.64212328767</v>
      </c>
      <c r="H276" t="s">
        <v>1046</v>
      </c>
      <c r="I276">
        <v>2</v>
      </c>
      <c r="J276">
        <v>595.119863013699</v>
      </c>
      <c r="L276" t="s">
        <v>639</v>
      </c>
      <c r="M276" t="s">
        <v>366</v>
      </c>
      <c r="N276">
        <v>297.559931506849</v>
      </c>
    </row>
    <row r="277" spans="1:14">
      <c r="A277" t="s">
        <v>846</v>
      </c>
      <c r="B277" s="2">
        <v>1</v>
      </c>
      <c r="C277">
        <v>2434.28938356164</v>
      </c>
      <c r="E277" t="s">
        <v>832</v>
      </c>
      <c r="F277">
        <v>297.559931506849</v>
      </c>
      <c r="H277" t="s">
        <v>1056</v>
      </c>
      <c r="I277">
        <v>1</v>
      </c>
      <c r="J277">
        <v>347.77397260274</v>
      </c>
      <c r="L277" t="s">
        <v>642</v>
      </c>
      <c r="M277" t="s">
        <v>640</v>
      </c>
      <c r="N277">
        <v>4907.2345890411</v>
      </c>
    </row>
    <row r="278" spans="1:14">
      <c r="A278" t="s">
        <v>849</v>
      </c>
      <c r="B278" s="2">
        <v>1</v>
      </c>
      <c r="C278">
        <v>4520.84760273973</v>
      </c>
      <c r="E278" t="s">
        <v>836</v>
      </c>
      <c r="F278">
        <v>401.883561643836</v>
      </c>
      <c r="H278" t="s">
        <v>416</v>
      </c>
      <c r="I278">
        <v>2</v>
      </c>
      <c r="J278">
        <v>664.640410958904</v>
      </c>
      <c r="L278" t="s">
        <v>642</v>
      </c>
      <c r="M278" t="s">
        <v>643</v>
      </c>
      <c r="N278">
        <v>2434.28938356164</v>
      </c>
    </row>
    <row r="279" spans="1:14">
      <c r="A279" t="s">
        <v>853</v>
      </c>
      <c r="B279" s="2">
        <v>1</v>
      </c>
      <c r="C279">
        <v>7264.2551369863</v>
      </c>
      <c r="E279" t="s">
        <v>842</v>
      </c>
      <c r="F279">
        <v>297.559931506849</v>
      </c>
      <c r="H279" t="s">
        <v>251</v>
      </c>
      <c r="I279">
        <v>2</v>
      </c>
      <c r="J279">
        <v>602.825342465753</v>
      </c>
      <c r="L279" t="s">
        <v>646</v>
      </c>
      <c r="M279" t="s">
        <v>644</v>
      </c>
      <c r="N279">
        <v>2086.55821917808</v>
      </c>
    </row>
    <row r="280" spans="1:14">
      <c r="A280" t="s">
        <v>857</v>
      </c>
      <c r="B280" s="2">
        <v>1</v>
      </c>
      <c r="C280">
        <v>494.606164383562</v>
      </c>
      <c r="E280" t="s">
        <v>848</v>
      </c>
      <c r="F280">
        <v>4520.84760273973</v>
      </c>
      <c r="H280" t="s">
        <v>712</v>
      </c>
      <c r="I280">
        <v>2</v>
      </c>
      <c r="J280">
        <v>595.119863013699</v>
      </c>
      <c r="L280" t="s">
        <v>649</v>
      </c>
      <c r="M280" t="s">
        <v>647</v>
      </c>
      <c r="N280">
        <v>1970.63356164384</v>
      </c>
    </row>
    <row r="281" spans="1:14">
      <c r="A281" t="s">
        <v>859</v>
      </c>
      <c r="B281" s="2">
        <v>1</v>
      </c>
      <c r="C281">
        <v>4443.57876712329</v>
      </c>
      <c r="E281" t="s">
        <v>856</v>
      </c>
      <c r="F281">
        <v>494.606164383562</v>
      </c>
      <c r="H281" t="s">
        <v>140</v>
      </c>
      <c r="I281">
        <v>2</v>
      </c>
      <c r="J281">
        <v>533.304794520548</v>
      </c>
      <c r="L281" t="s">
        <v>651</v>
      </c>
      <c r="M281" t="s">
        <v>412</v>
      </c>
      <c r="N281">
        <v>1545.59075342466</v>
      </c>
    </row>
    <row r="282" spans="1:14">
      <c r="A282" t="s">
        <v>863</v>
      </c>
      <c r="B282" s="2">
        <v>1</v>
      </c>
      <c r="C282">
        <v>68932.7397260274</v>
      </c>
      <c r="E282" t="s">
        <v>864</v>
      </c>
      <c r="F282">
        <v>297.559931506849</v>
      </c>
      <c r="H282" t="s">
        <v>505</v>
      </c>
      <c r="I282">
        <v>1</v>
      </c>
      <c r="J282">
        <v>2897.98801369863</v>
      </c>
      <c r="L282" t="s">
        <v>653</v>
      </c>
      <c r="M282" t="s">
        <v>66</v>
      </c>
      <c r="N282">
        <v>297.559931506849</v>
      </c>
    </row>
    <row r="283" spans="1:14">
      <c r="A283" t="s">
        <v>865</v>
      </c>
      <c r="B283" s="2">
        <v>1</v>
      </c>
      <c r="C283">
        <v>297.559931506849</v>
      </c>
      <c r="E283" t="s">
        <v>870</v>
      </c>
      <c r="F283">
        <v>1120.54794520548</v>
      </c>
      <c r="H283" t="s">
        <v>508</v>
      </c>
      <c r="I283">
        <v>1</v>
      </c>
      <c r="J283">
        <v>1661.5154109589</v>
      </c>
      <c r="L283" t="s">
        <v>655</v>
      </c>
      <c r="M283" t="s">
        <v>468</v>
      </c>
      <c r="N283">
        <v>1120.54794520548</v>
      </c>
    </row>
    <row r="284" spans="1:14">
      <c r="A284" t="s">
        <v>867</v>
      </c>
      <c r="B284" s="2">
        <v>1</v>
      </c>
      <c r="C284">
        <v>297.559931506849</v>
      </c>
      <c r="E284" t="s">
        <v>875</v>
      </c>
      <c r="F284">
        <v>1120.54794520548</v>
      </c>
      <c r="H284" t="s">
        <v>509</v>
      </c>
      <c r="I284">
        <v>1</v>
      </c>
      <c r="J284">
        <v>2086.55821917808</v>
      </c>
      <c r="L284" t="s">
        <v>658</v>
      </c>
      <c r="M284" t="s">
        <v>656</v>
      </c>
      <c r="N284">
        <v>6336.90068493151</v>
      </c>
    </row>
    <row r="285" spans="1:14">
      <c r="A285" t="s">
        <v>869</v>
      </c>
      <c r="B285" s="2">
        <v>1</v>
      </c>
      <c r="C285">
        <v>629.837328767123</v>
      </c>
      <c r="E285" t="s">
        <v>880</v>
      </c>
      <c r="F285">
        <v>2434.28938356164</v>
      </c>
      <c r="H285" t="s">
        <v>128</v>
      </c>
      <c r="I285">
        <v>1</v>
      </c>
      <c r="J285">
        <v>3438.91267123288</v>
      </c>
      <c r="L285" t="s">
        <v>658</v>
      </c>
      <c r="M285" t="s">
        <v>105</v>
      </c>
      <c r="N285">
        <v>401.883561643836</v>
      </c>
    </row>
    <row r="286" spans="1:14">
      <c r="A286" t="s">
        <v>871</v>
      </c>
      <c r="B286" s="2">
        <v>1</v>
      </c>
      <c r="C286">
        <v>1120.54794520548</v>
      </c>
      <c r="E286" t="s">
        <v>884</v>
      </c>
      <c r="F286">
        <v>463.698630136986</v>
      </c>
      <c r="H286" t="s">
        <v>622</v>
      </c>
      <c r="I286">
        <v>1</v>
      </c>
      <c r="J286">
        <v>966.010273972603</v>
      </c>
      <c r="L286" t="s">
        <v>661</v>
      </c>
      <c r="M286" t="s">
        <v>659</v>
      </c>
      <c r="N286">
        <v>3941.22431506849</v>
      </c>
    </row>
    <row r="287" spans="1:14">
      <c r="A287" t="s">
        <v>874</v>
      </c>
      <c r="B287" s="2">
        <v>1</v>
      </c>
      <c r="C287">
        <v>2009.28938356164</v>
      </c>
      <c r="E287" t="s">
        <v>890</v>
      </c>
      <c r="F287">
        <v>2086.55821917808</v>
      </c>
      <c r="H287" t="s">
        <v>700</v>
      </c>
      <c r="I287">
        <v>1</v>
      </c>
      <c r="J287">
        <v>966.010273972603</v>
      </c>
      <c r="L287" t="s">
        <v>664</v>
      </c>
      <c r="M287" t="s">
        <v>662</v>
      </c>
      <c r="N287">
        <v>332.320205479452</v>
      </c>
    </row>
    <row r="288" spans="1:14">
      <c r="A288" t="s">
        <v>876</v>
      </c>
      <c r="B288" s="2">
        <v>1</v>
      </c>
      <c r="C288">
        <v>1120.54794520548</v>
      </c>
      <c r="E288" t="s">
        <v>887</v>
      </c>
      <c r="F288">
        <v>8887.1147260274</v>
      </c>
      <c r="H288" t="s">
        <v>593</v>
      </c>
      <c r="I288">
        <v>1</v>
      </c>
      <c r="J288">
        <v>966.010273972603</v>
      </c>
      <c r="L288" t="s">
        <v>666</v>
      </c>
      <c r="M288" t="s">
        <v>268</v>
      </c>
      <c r="N288">
        <v>3941.22431506849</v>
      </c>
    </row>
    <row r="289" spans="1:14">
      <c r="A289" t="s">
        <v>877</v>
      </c>
      <c r="B289" s="2">
        <v>-1</v>
      </c>
      <c r="C289">
        <v>-1120.54794520548</v>
      </c>
      <c r="E289" t="s">
        <v>896</v>
      </c>
      <c r="F289">
        <v>1081.93493150685</v>
      </c>
      <c r="H289" t="s">
        <v>551</v>
      </c>
      <c r="I289">
        <v>1</v>
      </c>
      <c r="J289">
        <v>564.169520547945</v>
      </c>
      <c r="L289" t="s">
        <v>668</v>
      </c>
      <c r="M289" t="s">
        <v>268</v>
      </c>
      <c r="N289">
        <v>3941.22431506849</v>
      </c>
    </row>
    <row r="290" spans="1:14">
      <c r="A290" t="s">
        <v>878</v>
      </c>
      <c r="B290" s="2">
        <v>1</v>
      </c>
      <c r="C290">
        <v>1120.54794520548</v>
      </c>
      <c r="E290" t="s">
        <v>899</v>
      </c>
      <c r="F290">
        <v>3477.56849315068</v>
      </c>
      <c r="H290" t="s">
        <v>459</v>
      </c>
      <c r="I290">
        <v>1</v>
      </c>
      <c r="J290">
        <v>564.169520547945</v>
      </c>
      <c r="L290" t="s">
        <v>671</v>
      </c>
      <c r="M290" t="s">
        <v>669</v>
      </c>
      <c r="N290">
        <v>8577.95376712329</v>
      </c>
    </row>
    <row r="291" spans="1:14">
      <c r="A291" t="s">
        <v>881</v>
      </c>
      <c r="B291" s="2">
        <v>1</v>
      </c>
      <c r="C291">
        <v>2434.28938356164</v>
      </c>
      <c r="E291" t="s">
        <v>903</v>
      </c>
      <c r="F291">
        <v>4173.07363013699</v>
      </c>
      <c r="H291" t="s">
        <v>1006</v>
      </c>
      <c r="I291">
        <v>1</v>
      </c>
      <c r="J291">
        <v>1159.20376712329</v>
      </c>
      <c r="L291" t="s">
        <v>673</v>
      </c>
      <c r="M291" t="s">
        <v>250</v>
      </c>
      <c r="N291">
        <v>3400.29965753425</v>
      </c>
    </row>
    <row r="292" spans="1:14">
      <c r="A292" t="s">
        <v>883</v>
      </c>
      <c r="B292" s="2">
        <v>1</v>
      </c>
      <c r="C292">
        <v>3554.83732876712</v>
      </c>
      <c r="E292" t="s">
        <v>914</v>
      </c>
      <c r="F292">
        <v>4907.2345890411</v>
      </c>
      <c r="H292" t="s">
        <v>976</v>
      </c>
      <c r="I292">
        <v>1</v>
      </c>
      <c r="J292">
        <v>1159.20376712329</v>
      </c>
      <c r="L292" t="s">
        <v>673</v>
      </c>
      <c r="M292" t="s">
        <v>674</v>
      </c>
      <c r="N292">
        <v>3013.91267123288</v>
      </c>
    </row>
    <row r="293" spans="1:14">
      <c r="A293" t="s">
        <v>885</v>
      </c>
      <c r="B293" s="2">
        <v>1</v>
      </c>
      <c r="C293">
        <v>463.698630136986</v>
      </c>
      <c r="E293" t="s">
        <v>916</v>
      </c>
      <c r="F293">
        <v>2820.71917808219</v>
      </c>
      <c r="H293" t="s">
        <v>985</v>
      </c>
      <c r="I293">
        <v>1</v>
      </c>
      <c r="J293">
        <v>494.606164383562</v>
      </c>
      <c r="L293" t="s">
        <v>677</v>
      </c>
      <c r="M293" t="s">
        <v>675</v>
      </c>
      <c r="N293">
        <v>6877.82534246575</v>
      </c>
    </row>
    <row r="294" spans="1:14">
      <c r="A294" t="s">
        <v>888</v>
      </c>
      <c r="B294" s="2">
        <v>1</v>
      </c>
      <c r="C294">
        <v>8887.1147260274</v>
      </c>
      <c r="E294" t="s">
        <v>919</v>
      </c>
      <c r="F294">
        <v>2936.60102739726</v>
      </c>
      <c r="H294" t="s">
        <v>855</v>
      </c>
      <c r="I294">
        <v>1</v>
      </c>
      <c r="J294">
        <v>494.606164383562</v>
      </c>
      <c r="L294" t="s">
        <v>677</v>
      </c>
      <c r="M294" t="s">
        <v>678</v>
      </c>
      <c r="N294">
        <v>24497.4315068493</v>
      </c>
    </row>
    <row r="295" spans="1:14">
      <c r="A295" t="s">
        <v>891</v>
      </c>
      <c r="B295" s="2">
        <v>1</v>
      </c>
      <c r="C295">
        <v>2086.55821917808</v>
      </c>
      <c r="E295" t="s">
        <v>921</v>
      </c>
      <c r="F295">
        <v>3941.26712328767</v>
      </c>
      <c r="H295" t="s">
        <v>824</v>
      </c>
      <c r="I295">
        <v>1</v>
      </c>
      <c r="J295">
        <v>529.366438356164</v>
      </c>
      <c r="L295" t="s">
        <v>681</v>
      </c>
      <c r="M295" t="s">
        <v>679</v>
      </c>
      <c r="N295">
        <v>14142.0376712329</v>
      </c>
    </row>
    <row r="296" spans="1:14">
      <c r="A296" t="s">
        <v>894</v>
      </c>
      <c r="B296" s="2">
        <v>1</v>
      </c>
      <c r="C296">
        <v>7341.52397260274</v>
      </c>
      <c r="E296" t="s">
        <v>925</v>
      </c>
      <c r="F296">
        <v>3091.18150684932</v>
      </c>
      <c r="H296" t="s">
        <v>109</v>
      </c>
      <c r="I296">
        <v>1</v>
      </c>
      <c r="J296">
        <v>112.071917808219</v>
      </c>
      <c r="L296" t="s">
        <v>683</v>
      </c>
      <c r="M296" t="s">
        <v>682</v>
      </c>
      <c r="N296">
        <v>3168.45034246575</v>
      </c>
    </row>
    <row r="297" spans="1:14">
      <c r="A297" t="s">
        <v>897</v>
      </c>
      <c r="B297" s="2">
        <v>1</v>
      </c>
      <c r="C297">
        <v>1081.93493150685</v>
      </c>
      <c r="E297" t="s">
        <v>931</v>
      </c>
      <c r="F297">
        <v>5834.58904109589</v>
      </c>
      <c r="H297" t="s">
        <v>756</v>
      </c>
      <c r="I297">
        <v>1</v>
      </c>
      <c r="J297">
        <v>660.744863013699</v>
      </c>
      <c r="L297" t="s">
        <v>686</v>
      </c>
      <c r="M297" t="s">
        <v>684</v>
      </c>
      <c r="N297">
        <v>6839.21232876712</v>
      </c>
    </row>
    <row r="298" spans="1:14">
      <c r="A298" t="s">
        <v>900</v>
      </c>
      <c r="B298" s="2">
        <v>1</v>
      </c>
      <c r="C298">
        <v>3477.56849315068</v>
      </c>
      <c r="E298" t="s">
        <v>934</v>
      </c>
      <c r="F298">
        <v>2256.59246575342</v>
      </c>
      <c r="H298" t="s">
        <v>417</v>
      </c>
      <c r="I298">
        <v>3</v>
      </c>
      <c r="J298">
        <v>962.200342465753</v>
      </c>
      <c r="L298" t="s">
        <v>688</v>
      </c>
      <c r="M298" t="s">
        <v>520</v>
      </c>
      <c r="N298">
        <v>297.559931506849</v>
      </c>
    </row>
    <row r="299" spans="1:14">
      <c r="A299" t="s">
        <v>904</v>
      </c>
      <c r="B299" s="2">
        <v>1</v>
      </c>
      <c r="C299">
        <v>4173.07363013699</v>
      </c>
      <c r="E299" t="s">
        <v>937</v>
      </c>
      <c r="F299">
        <v>297.559931506849</v>
      </c>
      <c r="H299" t="s">
        <v>662</v>
      </c>
      <c r="I299">
        <v>2</v>
      </c>
      <c r="J299">
        <v>664.640410958904</v>
      </c>
      <c r="L299" t="s">
        <v>691</v>
      </c>
      <c r="M299" t="s">
        <v>689</v>
      </c>
      <c r="N299">
        <v>297.559931506849</v>
      </c>
    </row>
    <row r="300" spans="1:14">
      <c r="A300" t="s">
        <v>906</v>
      </c>
      <c r="B300" s="2">
        <v>1</v>
      </c>
      <c r="C300">
        <v>17789.6832191781</v>
      </c>
      <c r="E300" t="s">
        <v>940</v>
      </c>
      <c r="F300">
        <v>3106.67808219178</v>
      </c>
      <c r="H300" t="s">
        <v>325</v>
      </c>
      <c r="I300">
        <v>3</v>
      </c>
      <c r="J300">
        <v>799.957191780822</v>
      </c>
      <c r="L300" t="s">
        <v>694</v>
      </c>
      <c r="M300" t="s">
        <v>692</v>
      </c>
      <c r="N300">
        <v>2588.8698630137</v>
      </c>
    </row>
    <row r="301" spans="1:14">
      <c r="A301" t="s">
        <v>910</v>
      </c>
      <c r="B301" s="2">
        <v>1</v>
      </c>
      <c r="C301">
        <v>297.559931506849</v>
      </c>
      <c r="E301" t="s">
        <v>942</v>
      </c>
      <c r="F301">
        <v>2936.60102739726</v>
      </c>
      <c r="H301" t="s">
        <v>349</v>
      </c>
      <c r="I301">
        <v>2</v>
      </c>
      <c r="J301">
        <v>927.397260273973</v>
      </c>
      <c r="L301" t="s">
        <v>697</v>
      </c>
      <c r="M301" t="s">
        <v>695</v>
      </c>
      <c r="N301">
        <v>927.354452054794</v>
      </c>
    </row>
    <row r="302" spans="1:14">
      <c r="A302" t="s">
        <v>912</v>
      </c>
      <c r="B302" s="2">
        <v>1</v>
      </c>
      <c r="C302">
        <v>4559.46061643836</v>
      </c>
      <c r="E302" t="s">
        <v>945</v>
      </c>
      <c r="F302">
        <v>16614.9828767123</v>
      </c>
      <c r="H302" t="s">
        <v>555</v>
      </c>
      <c r="I302">
        <v>2</v>
      </c>
      <c r="J302">
        <v>564.212328767123</v>
      </c>
      <c r="L302" t="s">
        <v>699</v>
      </c>
      <c r="M302" t="s">
        <v>231</v>
      </c>
      <c r="N302">
        <v>2782.06335616438</v>
      </c>
    </row>
    <row r="303" spans="1:14">
      <c r="A303" t="s">
        <v>913</v>
      </c>
      <c r="B303" s="2">
        <v>1</v>
      </c>
      <c r="C303">
        <v>12210.0599315068</v>
      </c>
      <c r="E303" t="s">
        <v>961</v>
      </c>
      <c r="F303">
        <v>1120.54794520548</v>
      </c>
      <c r="H303" t="s">
        <v>738</v>
      </c>
      <c r="I303">
        <v>6</v>
      </c>
      <c r="J303">
        <v>1785.3595890411</v>
      </c>
      <c r="L303" t="s">
        <v>699</v>
      </c>
      <c r="M303" t="s">
        <v>700</v>
      </c>
      <c r="N303">
        <v>966.010273972603</v>
      </c>
    </row>
    <row r="304" spans="1:14">
      <c r="A304" t="s">
        <v>915</v>
      </c>
      <c r="B304" s="2">
        <v>1</v>
      </c>
      <c r="C304">
        <v>4907.2345890411</v>
      </c>
      <c r="E304" t="s">
        <v>964</v>
      </c>
      <c r="F304">
        <v>2588.8698630137</v>
      </c>
      <c r="H304" t="s">
        <v>66</v>
      </c>
      <c r="I304">
        <v>7</v>
      </c>
      <c r="J304">
        <v>1959.28938356164</v>
      </c>
      <c r="L304" t="s">
        <v>702</v>
      </c>
      <c r="M304" t="s">
        <v>601</v>
      </c>
      <c r="N304">
        <v>4907.2345890411</v>
      </c>
    </row>
    <row r="305" spans="1:14">
      <c r="A305" t="s">
        <v>917</v>
      </c>
      <c r="B305" s="2">
        <v>1</v>
      </c>
      <c r="C305">
        <v>2820.71917808219</v>
      </c>
      <c r="E305" t="s">
        <v>966</v>
      </c>
      <c r="F305">
        <v>2202.48287671233</v>
      </c>
      <c r="H305" t="s">
        <v>376</v>
      </c>
      <c r="I305">
        <v>3</v>
      </c>
      <c r="J305">
        <v>1089.68321917808</v>
      </c>
      <c r="L305" t="s">
        <v>704</v>
      </c>
      <c r="M305" t="s">
        <v>366</v>
      </c>
      <c r="N305">
        <v>297.559931506849</v>
      </c>
    </row>
    <row r="306" spans="1:14">
      <c r="A306" t="s">
        <v>920</v>
      </c>
      <c r="B306" s="2">
        <v>1</v>
      </c>
      <c r="C306">
        <v>2936.60102739726</v>
      </c>
      <c r="E306" t="s">
        <v>974</v>
      </c>
      <c r="F306">
        <v>2086.55821917808</v>
      </c>
      <c r="H306" t="s">
        <v>484</v>
      </c>
      <c r="I306">
        <v>3</v>
      </c>
      <c r="J306">
        <v>1391.09589041096</v>
      </c>
      <c r="L306" t="s">
        <v>707</v>
      </c>
      <c r="M306" t="s">
        <v>705</v>
      </c>
      <c r="N306">
        <v>1120.54794520548</v>
      </c>
    </row>
    <row r="307" spans="1:14">
      <c r="A307" t="s">
        <v>922</v>
      </c>
      <c r="B307" s="2">
        <v>1</v>
      </c>
      <c r="C307">
        <v>3941.26712328767</v>
      </c>
      <c r="E307" t="s">
        <v>977</v>
      </c>
      <c r="F307">
        <v>1159.20376712329</v>
      </c>
      <c r="H307" t="s">
        <v>515</v>
      </c>
      <c r="I307">
        <v>1</v>
      </c>
      <c r="J307">
        <v>463.698630136986</v>
      </c>
      <c r="L307" t="s">
        <v>709</v>
      </c>
      <c r="M307" t="s">
        <v>356</v>
      </c>
      <c r="N307">
        <v>1738.78424657534</v>
      </c>
    </row>
    <row r="308" spans="1:14">
      <c r="A308" t="s">
        <v>926</v>
      </c>
      <c r="B308" s="2">
        <v>1</v>
      </c>
      <c r="C308">
        <v>1970.63356164384</v>
      </c>
      <c r="E308" t="s">
        <v>980</v>
      </c>
      <c r="F308">
        <v>9118.92123287671</v>
      </c>
      <c r="H308" t="s">
        <v>1115</v>
      </c>
      <c r="I308">
        <v>1</v>
      </c>
      <c r="J308">
        <v>332.320205479452</v>
      </c>
      <c r="L308" t="s">
        <v>711</v>
      </c>
      <c r="M308" t="s">
        <v>710</v>
      </c>
      <c r="N308">
        <v>10973.6301369863</v>
      </c>
    </row>
    <row r="309" spans="1:14">
      <c r="A309" t="s">
        <v>927</v>
      </c>
      <c r="B309" s="2">
        <v>1</v>
      </c>
      <c r="C309">
        <v>1120.54794520548</v>
      </c>
      <c r="E309" t="s">
        <v>1044</v>
      </c>
      <c r="F309">
        <v>4443.53595890411</v>
      </c>
      <c r="H309" t="s">
        <v>242</v>
      </c>
      <c r="I309">
        <v>1</v>
      </c>
      <c r="J309">
        <v>1043.27910958904</v>
      </c>
      <c r="L309" t="s">
        <v>714</v>
      </c>
      <c r="M309" t="s">
        <v>712</v>
      </c>
      <c r="N309">
        <v>297.559931506849</v>
      </c>
    </row>
    <row r="310" spans="1:14">
      <c r="A310" t="s">
        <v>929</v>
      </c>
      <c r="B310" s="2">
        <v>1</v>
      </c>
      <c r="C310">
        <v>297.559931506849</v>
      </c>
      <c r="E310" t="s">
        <v>989</v>
      </c>
      <c r="F310">
        <v>3786.72945205479</v>
      </c>
      <c r="H310" t="s">
        <v>159</v>
      </c>
      <c r="I310">
        <v>3</v>
      </c>
      <c r="J310">
        <v>695.547945205479</v>
      </c>
      <c r="L310" t="s">
        <v>716</v>
      </c>
      <c r="M310" t="s">
        <v>640</v>
      </c>
      <c r="N310">
        <v>4907.2345890411</v>
      </c>
    </row>
    <row r="311" spans="1:14">
      <c r="A311" t="s">
        <v>932</v>
      </c>
      <c r="B311" s="2">
        <v>1</v>
      </c>
      <c r="C311">
        <v>5834.58904109589</v>
      </c>
      <c r="E311" t="s">
        <v>992</v>
      </c>
      <c r="F311">
        <v>1622.8595890411</v>
      </c>
      <c r="H311" t="s">
        <v>81</v>
      </c>
      <c r="I311">
        <v>3</v>
      </c>
      <c r="J311">
        <v>799.957191780822</v>
      </c>
      <c r="L311" t="s">
        <v>716</v>
      </c>
      <c r="M311" t="s">
        <v>80</v>
      </c>
      <c r="N311">
        <v>297.559931506849</v>
      </c>
    </row>
    <row r="312" spans="1:14">
      <c r="A312" t="s">
        <v>935</v>
      </c>
      <c r="B312" s="2">
        <v>1</v>
      </c>
      <c r="C312">
        <v>2256.59246575342</v>
      </c>
      <c r="E312" t="s">
        <v>994</v>
      </c>
      <c r="F312">
        <v>297.559931506849</v>
      </c>
      <c r="H312" t="s">
        <v>80</v>
      </c>
      <c r="I312">
        <v>2</v>
      </c>
      <c r="J312">
        <v>564.212328767123</v>
      </c>
      <c r="L312" t="s">
        <v>719</v>
      </c>
      <c r="M312" t="s">
        <v>717</v>
      </c>
      <c r="N312">
        <v>4443.53595890411</v>
      </c>
    </row>
    <row r="313" spans="1:14">
      <c r="A313" t="s">
        <v>938</v>
      </c>
      <c r="B313" s="2">
        <v>1</v>
      </c>
      <c r="C313">
        <v>297.559931506849</v>
      </c>
      <c r="E313" t="s">
        <v>996</v>
      </c>
      <c r="F313">
        <v>2936.60102739726</v>
      </c>
      <c r="H313" t="s">
        <v>583</v>
      </c>
      <c r="I313">
        <v>2</v>
      </c>
      <c r="J313">
        <v>564.212328767123</v>
      </c>
      <c r="L313" t="s">
        <v>722</v>
      </c>
      <c r="M313" t="s">
        <v>720</v>
      </c>
      <c r="N313">
        <v>2163.82705479452</v>
      </c>
    </row>
    <row r="314" spans="1:14">
      <c r="A314" t="s">
        <v>941</v>
      </c>
      <c r="B314" s="2">
        <v>1</v>
      </c>
      <c r="C314">
        <v>3106.67808219178</v>
      </c>
      <c r="E314" t="s">
        <v>1000</v>
      </c>
      <c r="F314">
        <v>5680.05136986301</v>
      </c>
      <c r="H314" t="s">
        <v>1029</v>
      </c>
      <c r="I314">
        <v>2</v>
      </c>
      <c r="J314">
        <v>595.119863013699</v>
      </c>
      <c r="L314" t="s">
        <v>724</v>
      </c>
      <c r="M314" t="s">
        <v>674</v>
      </c>
      <c r="N314">
        <v>3013.91267123288</v>
      </c>
    </row>
    <row r="315" spans="1:14">
      <c r="A315" t="s">
        <v>943</v>
      </c>
      <c r="B315" s="2">
        <v>1</v>
      </c>
      <c r="C315">
        <v>2936.60102739726</v>
      </c>
      <c r="E315" t="s">
        <v>1004</v>
      </c>
      <c r="F315">
        <v>10046.2756849315</v>
      </c>
      <c r="H315" t="s">
        <v>84</v>
      </c>
      <c r="I315">
        <v>3</v>
      </c>
      <c r="J315">
        <v>799.957191780822</v>
      </c>
      <c r="L315" t="s">
        <v>726</v>
      </c>
      <c r="M315" t="s">
        <v>243</v>
      </c>
      <c r="N315">
        <v>1120.54794520548</v>
      </c>
    </row>
    <row r="316" spans="1:14">
      <c r="A316" t="s">
        <v>946</v>
      </c>
      <c r="B316" s="2">
        <v>1</v>
      </c>
      <c r="C316">
        <v>16614.9828767123</v>
      </c>
      <c r="E316" t="s">
        <v>1013</v>
      </c>
      <c r="F316">
        <v>25811.1729452055</v>
      </c>
      <c r="H316" t="s">
        <v>520</v>
      </c>
      <c r="I316">
        <v>3</v>
      </c>
      <c r="J316">
        <v>861.772260273973</v>
      </c>
      <c r="L316" t="s">
        <v>729</v>
      </c>
      <c r="M316" t="s">
        <v>727</v>
      </c>
      <c r="N316">
        <v>564.169520547945</v>
      </c>
    </row>
    <row r="317" spans="1:14">
      <c r="A317" t="s">
        <v>949</v>
      </c>
      <c r="B317" s="2">
        <v>1</v>
      </c>
      <c r="C317">
        <v>3941.26712328767</v>
      </c>
      <c r="E317" t="s">
        <v>1020</v>
      </c>
      <c r="F317">
        <v>583.47602739726</v>
      </c>
      <c r="H317" t="s">
        <v>60</v>
      </c>
      <c r="I317">
        <v>3</v>
      </c>
      <c r="J317">
        <v>695.547945205479</v>
      </c>
      <c r="L317" t="s">
        <v>729</v>
      </c>
      <c r="M317" t="s">
        <v>730</v>
      </c>
      <c r="N317">
        <v>494.606164383562</v>
      </c>
    </row>
    <row r="318" spans="1:14">
      <c r="A318" t="s">
        <v>953</v>
      </c>
      <c r="B318" s="2">
        <v>1</v>
      </c>
      <c r="C318">
        <v>285.958904109589</v>
      </c>
      <c r="E318" t="s">
        <v>1027</v>
      </c>
      <c r="F318">
        <v>2550.21404109589</v>
      </c>
      <c r="H318" t="s">
        <v>631</v>
      </c>
      <c r="I318">
        <v>2</v>
      </c>
      <c r="J318">
        <v>1128.33904109589</v>
      </c>
      <c r="L318" t="s">
        <v>733</v>
      </c>
      <c r="M318" t="s">
        <v>731</v>
      </c>
      <c r="N318">
        <v>2936.60102739726</v>
      </c>
    </row>
    <row r="319" spans="1:14">
      <c r="A319" t="s">
        <v>955</v>
      </c>
      <c r="B319" s="2">
        <v>1</v>
      </c>
      <c r="C319">
        <v>3956.72089041096</v>
      </c>
      <c r="E319" t="s">
        <v>1047</v>
      </c>
      <c r="F319">
        <v>297.559931506849</v>
      </c>
      <c r="H319" t="s">
        <v>727</v>
      </c>
      <c r="I319">
        <v>2</v>
      </c>
      <c r="J319">
        <v>1128.33904109589</v>
      </c>
      <c r="L319" t="s">
        <v>735</v>
      </c>
      <c r="M319" t="s">
        <v>356</v>
      </c>
      <c r="N319">
        <v>1738.78424657534</v>
      </c>
    </row>
    <row r="320" spans="1:14">
      <c r="A320" t="s">
        <v>958</v>
      </c>
      <c r="B320" s="2">
        <v>1</v>
      </c>
      <c r="C320">
        <v>2086.55821917808</v>
      </c>
      <c r="E320" t="s">
        <v>1050</v>
      </c>
      <c r="F320">
        <v>2357.02054794521</v>
      </c>
      <c r="H320" t="s">
        <v>564</v>
      </c>
      <c r="I320">
        <v>3</v>
      </c>
      <c r="J320">
        <v>1483.81849315068</v>
      </c>
      <c r="L320" t="s">
        <v>737</v>
      </c>
      <c r="M320" t="s">
        <v>403</v>
      </c>
      <c r="N320">
        <v>1120.54794520548</v>
      </c>
    </row>
    <row r="321" spans="1:14">
      <c r="A321" t="s">
        <v>960</v>
      </c>
      <c r="B321" s="2">
        <v>1</v>
      </c>
      <c r="C321">
        <v>3438.91267123288</v>
      </c>
      <c r="E321" t="s">
        <v>1052</v>
      </c>
      <c r="F321">
        <v>5370.8904109589</v>
      </c>
      <c r="H321" t="s">
        <v>174</v>
      </c>
      <c r="I321">
        <v>1</v>
      </c>
      <c r="J321">
        <v>529.366438356164</v>
      </c>
      <c r="L321" t="s">
        <v>739</v>
      </c>
      <c r="M321" t="s">
        <v>738</v>
      </c>
      <c r="N321">
        <v>297.559931506849</v>
      </c>
    </row>
    <row r="322" spans="1:14">
      <c r="A322" t="s">
        <v>962</v>
      </c>
      <c r="B322" s="2">
        <v>1</v>
      </c>
      <c r="C322">
        <v>1120.54794520548</v>
      </c>
      <c r="E322" t="s">
        <v>1054</v>
      </c>
      <c r="F322">
        <v>3941.22431506849</v>
      </c>
      <c r="H322" t="s">
        <v>287</v>
      </c>
      <c r="I322">
        <v>1</v>
      </c>
      <c r="J322">
        <v>494.606164383562</v>
      </c>
      <c r="L322" t="s">
        <v>742</v>
      </c>
      <c r="M322" t="s">
        <v>740</v>
      </c>
      <c r="N322">
        <v>2434.28938356164</v>
      </c>
    </row>
    <row r="323" spans="1:14">
      <c r="A323" t="s">
        <v>965</v>
      </c>
      <c r="B323" s="2">
        <v>1</v>
      </c>
      <c r="C323">
        <v>2588.8698630137</v>
      </c>
      <c r="E323" t="s">
        <v>1059</v>
      </c>
      <c r="F323">
        <v>1236.47260273973</v>
      </c>
      <c r="H323" t="s">
        <v>831</v>
      </c>
      <c r="I323">
        <v>2</v>
      </c>
      <c r="J323">
        <v>595.119863013699</v>
      </c>
      <c r="L323" t="s">
        <v>745</v>
      </c>
      <c r="M323" t="s">
        <v>743</v>
      </c>
      <c r="N323">
        <v>463.698630136986</v>
      </c>
    </row>
    <row r="324" spans="1:14">
      <c r="A324" t="s">
        <v>967</v>
      </c>
      <c r="B324" s="2">
        <v>1</v>
      </c>
      <c r="C324">
        <v>2202.48287671233</v>
      </c>
      <c r="E324" t="s">
        <v>1062</v>
      </c>
      <c r="F324">
        <v>5370.8904109589</v>
      </c>
      <c r="H324" t="s">
        <v>366</v>
      </c>
      <c r="I324">
        <v>3</v>
      </c>
      <c r="J324">
        <v>826.969178082192</v>
      </c>
      <c r="L324" t="s">
        <v>748</v>
      </c>
      <c r="M324" t="s">
        <v>746</v>
      </c>
      <c r="N324">
        <v>21638.0993150685</v>
      </c>
    </row>
    <row r="325" spans="1:14">
      <c r="A325" t="s">
        <v>969</v>
      </c>
      <c r="B325" s="2">
        <v>1</v>
      </c>
      <c r="C325">
        <v>633.732876712329</v>
      </c>
      <c r="E325" t="s">
        <v>1067</v>
      </c>
      <c r="F325">
        <v>3052.52568493151</v>
      </c>
      <c r="H325" t="s">
        <v>363</v>
      </c>
      <c r="I325">
        <v>1</v>
      </c>
      <c r="J325">
        <v>494.606164383562</v>
      </c>
      <c r="L325" t="s">
        <v>751</v>
      </c>
      <c r="M325" t="s">
        <v>749</v>
      </c>
      <c r="N325">
        <v>3168.45034246575</v>
      </c>
    </row>
    <row r="326" spans="1:14">
      <c r="A326" t="s">
        <v>972</v>
      </c>
      <c r="B326" s="2">
        <v>1</v>
      </c>
      <c r="C326">
        <v>3052.52568493151</v>
      </c>
      <c r="E326" t="s">
        <v>1073</v>
      </c>
      <c r="F326">
        <v>966.010273972603</v>
      </c>
      <c r="H326" t="s">
        <v>730</v>
      </c>
      <c r="I326">
        <v>1</v>
      </c>
      <c r="J326">
        <v>494.606164383562</v>
      </c>
      <c r="L326" t="s">
        <v>753</v>
      </c>
      <c r="M326" t="s">
        <v>712</v>
      </c>
      <c r="N326">
        <v>297.559931506849</v>
      </c>
    </row>
    <row r="327" spans="1:14">
      <c r="A327" t="s">
        <v>975</v>
      </c>
      <c r="B327" s="2">
        <v>1</v>
      </c>
      <c r="C327">
        <v>2086.55821917808</v>
      </c>
      <c r="E327" t="s">
        <v>1078</v>
      </c>
      <c r="F327">
        <v>583.47602739726</v>
      </c>
      <c r="H327" t="s">
        <v>523</v>
      </c>
      <c r="I327">
        <v>1</v>
      </c>
      <c r="J327">
        <v>266.652397260274</v>
      </c>
      <c r="L327" t="s">
        <v>755</v>
      </c>
      <c r="M327" t="s">
        <v>403</v>
      </c>
      <c r="N327">
        <v>1120.54794520548</v>
      </c>
    </row>
    <row r="328" spans="1:14">
      <c r="A328" t="s">
        <v>978</v>
      </c>
      <c r="B328" s="2">
        <v>1</v>
      </c>
      <c r="C328">
        <v>1159.20376712329</v>
      </c>
      <c r="E328" t="s">
        <v>1080</v>
      </c>
      <c r="F328">
        <v>297.559931506849</v>
      </c>
      <c r="H328" t="s">
        <v>331</v>
      </c>
      <c r="I328">
        <v>1</v>
      </c>
      <c r="J328">
        <v>490.753424657534</v>
      </c>
      <c r="L328" t="s">
        <v>758</v>
      </c>
      <c r="M328" t="s">
        <v>756</v>
      </c>
      <c r="N328">
        <v>660.744863013699</v>
      </c>
    </row>
    <row r="329" spans="1:14">
      <c r="A329" t="s">
        <v>981</v>
      </c>
      <c r="B329" s="2">
        <v>1</v>
      </c>
      <c r="C329">
        <v>9118.92123287671</v>
      </c>
      <c r="E329" t="s">
        <v>1086</v>
      </c>
      <c r="F329">
        <v>1352.39726027397</v>
      </c>
      <c r="H329" t="s">
        <v>275</v>
      </c>
      <c r="I329">
        <v>2</v>
      </c>
      <c r="J329">
        <v>1259.67465753425</v>
      </c>
      <c r="L329" t="s">
        <v>761</v>
      </c>
      <c r="M329" t="s">
        <v>759</v>
      </c>
      <c r="N329">
        <v>7650.64212328767</v>
      </c>
    </row>
    <row r="330" spans="1:14">
      <c r="A330" t="s">
        <v>983</v>
      </c>
      <c r="B330" s="2">
        <v>1</v>
      </c>
      <c r="C330">
        <v>2086.55821917808</v>
      </c>
      <c r="E330" t="s">
        <v>1088</v>
      </c>
      <c r="F330">
        <v>2588.8698630137</v>
      </c>
      <c r="H330" t="s">
        <v>623</v>
      </c>
      <c r="I330">
        <v>1</v>
      </c>
      <c r="J330">
        <v>1081.93493150685</v>
      </c>
      <c r="L330" t="s">
        <v>764</v>
      </c>
      <c r="M330" t="s">
        <v>762</v>
      </c>
      <c r="N330">
        <v>7341.52397260274</v>
      </c>
    </row>
    <row r="331" spans="1:14">
      <c r="A331" t="s">
        <v>987</v>
      </c>
      <c r="B331" s="2">
        <v>1</v>
      </c>
      <c r="C331">
        <v>494.606164383562</v>
      </c>
      <c r="E331" t="s">
        <v>1091</v>
      </c>
      <c r="F331">
        <v>2434.28938356164</v>
      </c>
      <c r="H331" t="s">
        <v>895</v>
      </c>
      <c r="I331">
        <v>1</v>
      </c>
      <c r="J331">
        <v>1081.93493150685</v>
      </c>
      <c r="L331" t="s">
        <v>764</v>
      </c>
      <c r="M331" t="s">
        <v>765</v>
      </c>
      <c r="N331">
        <v>4559.46061643836</v>
      </c>
    </row>
    <row r="332" spans="1:14">
      <c r="A332" t="s">
        <v>990</v>
      </c>
      <c r="B332" s="2">
        <v>1</v>
      </c>
      <c r="C332">
        <v>3323.03082191781</v>
      </c>
      <c r="E332" t="s">
        <v>1093</v>
      </c>
      <c r="F332">
        <v>332.320205479452</v>
      </c>
      <c r="H332" t="s">
        <v>610</v>
      </c>
      <c r="I332">
        <v>1</v>
      </c>
      <c r="J332">
        <v>1275.12842465753</v>
      </c>
      <c r="L332" t="s">
        <v>767</v>
      </c>
      <c r="M332" t="s">
        <v>743</v>
      </c>
      <c r="N332">
        <v>463.698630136986</v>
      </c>
    </row>
    <row r="333" spans="1:14">
      <c r="A333" t="s">
        <v>993</v>
      </c>
      <c r="B333" s="2">
        <v>1</v>
      </c>
      <c r="C333">
        <v>1622.8595890411</v>
      </c>
      <c r="E333" t="s">
        <v>1095</v>
      </c>
      <c r="F333">
        <v>2357.02054794521</v>
      </c>
      <c r="H333" t="s">
        <v>626</v>
      </c>
      <c r="I333">
        <v>1</v>
      </c>
      <c r="J333">
        <v>1275.12842465753</v>
      </c>
      <c r="L333" t="s">
        <v>769</v>
      </c>
      <c r="M333" t="s">
        <v>66</v>
      </c>
      <c r="N333">
        <v>297.559931506849</v>
      </c>
    </row>
    <row r="334" spans="1:14">
      <c r="A334" t="s">
        <v>995</v>
      </c>
      <c r="B334" s="2">
        <v>1</v>
      </c>
      <c r="C334">
        <v>297.559931506849</v>
      </c>
      <c r="E334" t="s">
        <v>1103</v>
      </c>
      <c r="F334">
        <v>1120.54794520548</v>
      </c>
      <c r="H334" t="s">
        <v>743</v>
      </c>
      <c r="I334">
        <v>3</v>
      </c>
      <c r="J334">
        <v>1391.09589041096</v>
      </c>
      <c r="L334" t="s">
        <v>772</v>
      </c>
      <c r="M334" t="s">
        <v>770</v>
      </c>
      <c r="N334">
        <v>2163.82705479452</v>
      </c>
    </row>
    <row r="335" spans="1:14">
      <c r="A335" t="s">
        <v>997</v>
      </c>
      <c r="B335" s="2">
        <v>1</v>
      </c>
      <c r="C335">
        <v>2936.60102739726</v>
      </c>
      <c r="E335" t="s">
        <v>1109</v>
      </c>
      <c r="F335">
        <v>2588.8698630137</v>
      </c>
      <c r="H335" t="s">
        <v>588</v>
      </c>
      <c r="I335">
        <v>3</v>
      </c>
      <c r="J335">
        <v>861.772260273973</v>
      </c>
      <c r="L335" t="s">
        <v>775</v>
      </c>
      <c r="M335" t="s">
        <v>773</v>
      </c>
      <c r="N335">
        <v>610.530821917808</v>
      </c>
    </row>
    <row r="336" spans="1:14">
      <c r="A336" t="s">
        <v>998</v>
      </c>
      <c r="B336" s="2">
        <v>1</v>
      </c>
      <c r="C336">
        <v>463.698630136986</v>
      </c>
      <c r="E336" t="s">
        <v>1113</v>
      </c>
      <c r="F336">
        <v>297.559931506849</v>
      </c>
      <c r="H336" t="s">
        <v>689</v>
      </c>
      <c r="I336">
        <v>2</v>
      </c>
      <c r="J336">
        <v>595.119863013699</v>
      </c>
      <c r="L336" t="s">
        <v>777</v>
      </c>
      <c r="M336" t="s">
        <v>662</v>
      </c>
      <c r="N336">
        <v>332.320205479452</v>
      </c>
    </row>
    <row r="337" spans="1:14">
      <c r="A337" t="s">
        <v>1001</v>
      </c>
      <c r="B337" s="2">
        <v>1</v>
      </c>
      <c r="C337">
        <v>5680.05136986301</v>
      </c>
      <c r="E337" t="s">
        <v>1116</v>
      </c>
      <c r="F337">
        <v>896.489726027397</v>
      </c>
      <c r="H337" t="s">
        <v>214</v>
      </c>
      <c r="I337">
        <v>2</v>
      </c>
      <c r="J337">
        <v>3709.41780821918</v>
      </c>
      <c r="L337" t="s">
        <v>780</v>
      </c>
      <c r="M337" t="s">
        <v>778</v>
      </c>
      <c r="N337">
        <v>16460.4023972603</v>
      </c>
    </row>
    <row r="338" spans="1:14">
      <c r="A338" t="s">
        <v>1005</v>
      </c>
      <c r="B338" s="2">
        <v>1</v>
      </c>
      <c r="C338">
        <v>10046.2756849315</v>
      </c>
      <c r="E338" t="s">
        <v>1119</v>
      </c>
      <c r="F338">
        <v>768.96404109589</v>
      </c>
      <c r="H338" t="s">
        <v>386</v>
      </c>
      <c r="I338">
        <v>1</v>
      </c>
      <c r="J338">
        <v>1854.70890410959</v>
      </c>
      <c r="L338" t="s">
        <v>781</v>
      </c>
      <c r="M338" t="s">
        <v>738</v>
      </c>
      <c r="N338">
        <v>297.559931506849</v>
      </c>
    </row>
    <row r="339" spans="1:14">
      <c r="A339" t="s">
        <v>1008</v>
      </c>
      <c r="B339" s="2">
        <v>1</v>
      </c>
      <c r="C339">
        <v>1159.20376712329</v>
      </c>
      <c r="E339" t="s">
        <v>1121</v>
      </c>
      <c r="F339">
        <v>1120.54794520548</v>
      </c>
      <c r="H339" t="s">
        <v>254</v>
      </c>
      <c r="I339">
        <v>1</v>
      </c>
      <c r="J339">
        <v>316.866438356164</v>
      </c>
      <c r="L339" t="s">
        <v>783</v>
      </c>
      <c r="M339" t="s">
        <v>738</v>
      </c>
      <c r="N339">
        <v>297.559931506849</v>
      </c>
    </row>
    <row r="340" spans="1:14">
      <c r="A340" t="s">
        <v>1011</v>
      </c>
      <c r="B340" s="2">
        <v>1</v>
      </c>
      <c r="C340">
        <v>1970.63356164384</v>
      </c>
      <c r="E340" t="s">
        <v>1126</v>
      </c>
      <c r="F340">
        <v>297.559931506849</v>
      </c>
      <c r="H340" t="s">
        <v>257</v>
      </c>
      <c r="I340">
        <v>1</v>
      </c>
      <c r="J340">
        <v>316.866438356164</v>
      </c>
      <c r="L340" t="s">
        <v>786</v>
      </c>
      <c r="M340" t="s">
        <v>784</v>
      </c>
      <c r="N340">
        <v>2357.02054794521</v>
      </c>
    </row>
    <row r="341" spans="1:14">
      <c r="A341" t="s">
        <v>1014</v>
      </c>
      <c r="B341" s="2">
        <v>1</v>
      </c>
      <c r="C341">
        <v>25811.1729452055</v>
      </c>
      <c r="E341" t="s">
        <v>401</v>
      </c>
      <c r="F341">
        <v>231.849315068493</v>
      </c>
      <c r="H341" t="s">
        <v>129</v>
      </c>
      <c r="I341">
        <v>1</v>
      </c>
      <c r="J341">
        <v>316.866438356164</v>
      </c>
      <c r="L341" t="s">
        <v>789</v>
      </c>
      <c r="M341" t="s">
        <v>787</v>
      </c>
      <c r="N341">
        <v>11360.0171232877</v>
      </c>
    </row>
    <row r="342" spans="1:14">
      <c r="A342" t="s">
        <v>1016</v>
      </c>
      <c r="B342" s="2">
        <v>1</v>
      </c>
      <c r="C342">
        <v>1854.70890410959</v>
      </c>
      <c r="E342" t="s">
        <v>202</v>
      </c>
      <c r="F342">
        <v>6016.22431506849</v>
      </c>
      <c r="H342" t="s">
        <v>130</v>
      </c>
      <c r="I342">
        <v>1</v>
      </c>
      <c r="J342">
        <v>316.866438356164</v>
      </c>
      <c r="L342" t="s">
        <v>792</v>
      </c>
      <c r="M342" t="s">
        <v>790</v>
      </c>
      <c r="N342">
        <v>2704.79452054795</v>
      </c>
    </row>
    <row r="343" spans="1:14">
      <c r="A343" t="s">
        <v>1018</v>
      </c>
      <c r="B343" s="2">
        <v>1</v>
      </c>
      <c r="C343">
        <v>2434.28938356164</v>
      </c>
      <c r="E343" t="s">
        <v>1136</v>
      </c>
      <c r="F343">
        <v>1492763.98972603</v>
      </c>
      <c r="H343" t="s">
        <v>1136</v>
      </c>
      <c r="I343">
        <v>483</v>
      </c>
      <c r="J343">
        <v>1492763.98972603</v>
      </c>
      <c r="L343" t="s">
        <v>795</v>
      </c>
      <c r="M343" t="s">
        <v>793</v>
      </c>
      <c r="N343">
        <v>2009.28938356164</v>
      </c>
    </row>
    <row r="344" spans="1:14">
      <c r="A344" t="s">
        <v>1021</v>
      </c>
      <c r="B344" s="2">
        <v>1</v>
      </c>
      <c r="C344">
        <v>583.47602739726</v>
      </c>
      <c r="L344" t="s">
        <v>795</v>
      </c>
      <c r="M344" t="s">
        <v>796</v>
      </c>
      <c r="N344">
        <v>2009.28938356164</v>
      </c>
    </row>
    <row r="345" spans="1:14">
      <c r="A345" t="s">
        <v>1022</v>
      </c>
      <c r="B345" s="2">
        <v>1</v>
      </c>
      <c r="C345">
        <v>2357.02054794521</v>
      </c>
      <c r="L345" t="s">
        <v>798</v>
      </c>
      <c r="M345" t="s">
        <v>797</v>
      </c>
      <c r="N345">
        <v>2434.28938356164</v>
      </c>
    </row>
    <row r="346" spans="1:14">
      <c r="A346" t="s">
        <v>1025</v>
      </c>
      <c r="B346" s="2">
        <v>1</v>
      </c>
      <c r="C346">
        <v>4404.92294520548</v>
      </c>
      <c r="L346" t="s">
        <v>799</v>
      </c>
      <c r="M346" t="s">
        <v>790</v>
      </c>
      <c r="N346">
        <v>-2704.79452054795</v>
      </c>
    </row>
    <row r="347" spans="1:14">
      <c r="A347" t="s">
        <v>1028</v>
      </c>
      <c r="B347" s="2">
        <v>1</v>
      </c>
      <c r="C347">
        <v>2550.21404109589</v>
      </c>
      <c r="L347" t="s">
        <v>801</v>
      </c>
      <c r="M347" t="s">
        <v>318</v>
      </c>
      <c r="N347">
        <v>2936.60102739726</v>
      </c>
    </row>
    <row r="348" spans="1:14">
      <c r="A348" t="s">
        <v>1031</v>
      </c>
      <c r="B348" s="2">
        <v>1</v>
      </c>
      <c r="C348">
        <v>297.559931506849</v>
      </c>
      <c r="L348" t="s">
        <v>801</v>
      </c>
      <c r="M348" t="s">
        <v>165</v>
      </c>
      <c r="N348">
        <v>401.883561643836</v>
      </c>
    </row>
    <row r="349" spans="1:14">
      <c r="A349" t="s">
        <v>1033</v>
      </c>
      <c r="B349" s="2">
        <v>1</v>
      </c>
      <c r="C349">
        <v>2357.02054794521</v>
      </c>
      <c r="L349" t="s">
        <v>804</v>
      </c>
      <c r="M349" t="s">
        <v>802</v>
      </c>
      <c r="N349">
        <v>4173.07363013699</v>
      </c>
    </row>
    <row r="350" spans="1:14">
      <c r="A350" t="s">
        <v>1035</v>
      </c>
      <c r="B350" s="2">
        <v>1</v>
      </c>
      <c r="C350">
        <v>401.883561643836</v>
      </c>
      <c r="L350" t="s">
        <v>807</v>
      </c>
      <c r="M350" t="s">
        <v>805</v>
      </c>
      <c r="N350">
        <v>2357.02054794521</v>
      </c>
    </row>
    <row r="351" spans="1:14">
      <c r="A351" t="s">
        <v>1037</v>
      </c>
      <c r="B351" s="2">
        <v>1</v>
      </c>
      <c r="C351">
        <v>6955.13698630137</v>
      </c>
      <c r="L351" t="s">
        <v>807</v>
      </c>
      <c r="M351" t="s">
        <v>808</v>
      </c>
      <c r="N351">
        <v>1854.70890410959</v>
      </c>
    </row>
    <row r="352" spans="1:14">
      <c r="A352" t="s">
        <v>1039</v>
      </c>
      <c r="B352" s="2">
        <v>1</v>
      </c>
      <c r="C352">
        <v>11437.2859589041</v>
      </c>
      <c r="L352" t="s">
        <v>811</v>
      </c>
      <c r="M352" t="s">
        <v>809</v>
      </c>
      <c r="N352">
        <v>517.808219178082</v>
      </c>
    </row>
    <row r="353" spans="1:14">
      <c r="A353" t="s">
        <v>1042</v>
      </c>
      <c r="B353" s="2">
        <v>1</v>
      </c>
      <c r="C353">
        <v>94241.5667808219</v>
      </c>
      <c r="L353" t="s">
        <v>814</v>
      </c>
      <c r="M353" t="s">
        <v>812</v>
      </c>
      <c r="N353">
        <v>1043.27910958904</v>
      </c>
    </row>
    <row r="354" spans="1:14">
      <c r="A354" t="s">
        <v>1045</v>
      </c>
      <c r="B354" s="2">
        <v>1</v>
      </c>
      <c r="C354">
        <v>4443.53595890411</v>
      </c>
      <c r="L354" t="s">
        <v>817</v>
      </c>
      <c r="M354" t="s">
        <v>815</v>
      </c>
      <c r="N354">
        <v>7650.64212328767</v>
      </c>
    </row>
    <row r="355" spans="1:14">
      <c r="A355" t="s">
        <v>1048</v>
      </c>
      <c r="B355" s="2">
        <v>1</v>
      </c>
      <c r="C355">
        <v>297.559931506849</v>
      </c>
      <c r="L355" t="s">
        <v>820</v>
      </c>
      <c r="M355" t="s">
        <v>818</v>
      </c>
      <c r="N355">
        <v>3516.22431506849</v>
      </c>
    </row>
    <row r="356" spans="1:14">
      <c r="A356" t="s">
        <v>1051</v>
      </c>
      <c r="B356" s="2">
        <v>1</v>
      </c>
      <c r="C356">
        <v>2357.02054794521</v>
      </c>
      <c r="L356" t="s">
        <v>822</v>
      </c>
      <c r="M356" t="s">
        <v>659</v>
      </c>
      <c r="N356">
        <v>3941.22431506849</v>
      </c>
    </row>
    <row r="357" spans="1:14">
      <c r="A357" t="s">
        <v>1053</v>
      </c>
      <c r="B357" s="2">
        <v>1</v>
      </c>
      <c r="C357">
        <v>2936.60102739726</v>
      </c>
      <c r="L357" t="s">
        <v>822</v>
      </c>
      <c r="M357" t="s">
        <v>823</v>
      </c>
      <c r="N357">
        <v>2434.28938356164</v>
      </c>
    </row>
    <row r="358" spans="1:14">
      <c r="A358" t="s">
        <v>1055</v>
      </c>
      <c r="B358" s="2">
        <v>1</v>
      </c>
      <c r="C358">
        <v>3941.22431506849</v>
      </c>
      <c r="L358" t="s">
        <v>826</v>
      </c>
      <c r="M358" t="s">
        <v>824</v>
      </c>
      <c r="N358">
        <v>529.366438356164</v>
      </c>
    </row>
    <row r="359" spans="1:14">
      <c r="A359" t="s">
        <v>1057</v>
      </c>
      <c r="B359" s="2">
        <v>1</v>
      </c>
      <c r="C359">
        <v>347.77397260274</v>
      </c>
      <c r="L359" t="s">
        <v>829</v>
      </c>
      <c r="M359" t="s">
        <v>827</v>
      </c>
      <c r="N359">
        <v>7032.40582191781</v>
      </c>
    </row>
    <row r="360" spans="1:14">
      <c r="A360" t="s">
        <v>1060</v>
      </c>
      <c r="B360" s="2">
        <v>1</v>
      </c>
      <c r="C360">
        <v>1236.47260273973</v>
      </c>
      <c r="L360" t="s">
        <v>829</v>
      </c>
      <c r="M360" t="s">
        <v>830</v>
      </c>
      <c r="N360">
        <v>1236.47260273973</v>
      </c>
    </row>
    <row r="361" spans="1:14">
      <c r="A361" t="s">
        <v>1063</v>
      </c>
      <c r="B361" s="2">
        <v>1</v>
      </c>
      <c r="C361">
        <v>5370.8904109589</v>
      </c>
      <c r="L361" t="s">
        <v>833</v>
      </c>
      <c r="M361" t="s">
        <v>831</v>
      </c>
      <c r="N361">
        <v>297.559931506849</v>
      </c>
    </row>
    <row r="362" spans="1:14">
      <c r="A362" t="s">
        <v>1065</v>
      </c>
      <c r="B362" s="2">
        <v>1</v>
      </c>
      <c r="C362">
        <v>2434.28938356164</v>
      </c>
      <c r="L362" t="s">
        <v>835</v>
      </c>
      <c r="M362" t="s">
        <v>376</v>
      </c>
      <c r="N362">
        <v>363.227739726027</v>
      </c>
    </row>
    <row r="363" spans="1:14">
      <c r="A363" t="s">
        <v>1068</v>
      </c>
      <c r="B363" s="2">
        <v>1</v>
      </c>
      <c r="C363">
        <v>3052.52568493151</v>
      </c>
      <c r="L363" t="s">
        <v>837</v>
      </c>
      <c r="M363" t="s">
        <v>475</v>
      </c>
      <c r="N363">
        <v>401.883561643836</v>
      </c>
    </row>
    <row r="364" spans="1:14">
      <c r="A364" t="s">
        <v>1071</v>
      </c>
      <c r="B364" s="2">
        <v>1</v>
      </c>
      <c r="C364">
        <v>316.866438356164</v>
      </c>
      <c r="L364" t="s">
        <v>840</v>
      </c>
      <c r="M364" t="s">
        <v>838</v>
      </c>
      <c r="N364">
        <v>2434.28938356164</v>
      </c>
    </row>
    <row r="365" spans="1:14">
      <c r="A365" t="s">
        <v>1074</v>
      </c>
      <c r="B365" s="2">
        <v>1</v>
      </c>
      <c r="C365">
        <v>966.010273972603</v>
      </c>
      <c r="L365" t="s">
        <v>843</v>
      </c>
      <c r="M365" t="s">
        <v>841</v>
      </c>
      <c r="N365">
        <v>297.559931506849</v>
      </c>
    </row>
    <row r="366" spans="1:14">
      <c r="A366" t="s">
        <v>1075</v>
      </c>
      <c r="B366" s="2">
        <v>-1</v>
      </c>
      <c r="C366">
        <v>-966.010273972603</v>
      </c>
      <c r="L366" t="s">
        <v>846</v>
      </c>
      <c r="M366" t="s">
        <v>844</v>
      </c>
      <c r="N366">
        <v>2434.28938356164</v>
      </c>
    </row>
    <row r="367" spans="1:14">
      <c r="A367" t="s">
        <v>1076</v>
      </c>
      <c r="B367" s="2">
        <v>1</v>
      </c>
      <c r="C367">
        <v>966.010273972603</v>
      </c>
      <c r="L367" t="s">
        <v>849</v>
      </c>
      <c r="M367" t="s">
        <v>847</v>
      </c>
      <c r="N367">
        <v>2434.28938356164</v>
      </c>
    </row>
    <row r="368" spans="1:14">
      <c r="A368" t="s">
        <v>1079</v>
      </c>
      <c r="B368" s="2">
        <v>1</v>
      </c>
      <c r="C368">
        <v>583.47602739726</v>
      </c>
      <c r="L368" t="s">
        <v>849</v>
      </c>
      <c r="M368" t="s">
        <v>850</v>
      </c>
      <c r="N368">
        <v>2086.55821917808</v>
      </c>
    </row>
    <row r="369" spans="1:14">
      <c r="A369" t="s">
        <v>1081</v>
      </c>
      <c r="B369" s="2">
        <v>1</v>
      </c>
      <c r="C369">
        <v>297.559931506849</v>
      </c>
      <c r="L369" t="s">
        <v>853</v>
      </c>
      <c r="M369" t="s">
        <v>851</v>
      </c>
      <c r="N369">
        <v>5177.69691780822</v>
      </c>
    </row>
    <row r="370" spans="1:14">
      <c r="A370" t="s">
        <v>1084</v>
      </c>
      <c r="B370" s="2">
        <v>1</v>
      </c>
      <c r="C370">
        <v>1275.12842465753</v>
      </c>
      <c r="L370" t="s">
        <v>853</v>
      </c>
      <c r="M370" t="s">
        <v>854</v>
      </c>
      <c r="N370">
        <v>2086.55821917808</v>
      </c>
    </row>
    <row r="371" spans="1:14">
      <c r="A371" t="s">
        <v>1087</v>
      </c>
      <c r="B371" s="2">
        <v>1</v>
      </c>
      <c r="C371">
        <v>1352.39726027397</v>
      </c>
      <c r="L371" t="s">
        <v>857</v>
      </c>
      <c r="M371" t="s">
        <v>855</v>
      </c>
      <c r="N371">
        <v>494.606164383562</v>
      </c>
    </row>
    <row r="372" spans="1:14">
      <c r="A372" t="s">
        <v>1089</v>
      </c>
      <c r="B372" s="2">
        <v>1</v>
      </c>
      <c r="C372">
        <v>2588.8698630137</v>
      </c>
      <c r="L372" t="s">
        <v>859</v>
      </c>
      <c r="M372" t="s">
        <v>567</v>
      </c>
      <c r="N372">
        <v>2086.55821917808</v>
      </c>
    </row>
    <row r="373" spans="1:14">
      <c r="A373" t="s">
        <v>1092</v>
      </c>
      <c r="B373" s="2">
        <v>1</v>
      </c>
      <c r="C373">
        <v>2434.28938356164</v>
      </c>
      <c r="L373" t="s">
        <v>859</v>
      </c>
      <c r="M373" t="s">
        <v>860</v>
      </c>
      <c r="N373">
        <v>1236.47260273973</v>
      </c>
    </row>
    <row r="374" spans="1:14">
      <c r="A374" t="s">
        <v>1094</v>
      </c>
      <c r="B374" s="2">
        <v>1</v>
      </c>
      <c r="C374">
        <v>332.320205479452</v>
      </c>
      <c r="L374" t="s">
        <v>859</v>
      </c>
      <c r="M374" t="s">
        <v>468</v>
      </c>
      <c r="N374">
        <v>1120.54794520548</v>
      </c>
    </row>
    <row r="375" spans="1:14">
      <c r="A375" t="s">
        <v>1096</v>
      </c>
      <c r="B375" s="2">
        <v>1</v>
      </c>
      <c r="C375">
        <v>2357.02054794521</v>
      </c>
      <c r="L375" t="s">
        <v>863</v>
      </c>
      <c r="M375" t="s">
        <v>861</v>
      </c>
      <c r="N375">
        <v>68932.7397260274</v>
      </c>
    </row>
    <row r="376" spans="1:14">
      <c r="A376" t="s">
        <v>1097</v>
      </c>
      <c r="B376" s="2">
        <v>-1</v>
      </c>
      <c r="C376">
        <v>-2588.8698630137</v>
      </c>
      <c r="L376" t="s">
        <v>865</v>
      </c>
      <c r="M376" t="s">
        <v>689</v>
      </c>
      <c r="N376">
        <v>297.559931506849</v>
      </c>
    </row>
    <row r="377" spans="1:14">
      <c r="A377" t="s">
        <v>1099</v>
      </c>
      <c r="B377" s="2">
        <v>1</v>
      </c>
      <c r="C377">
        <v>332.320205479452</v>
      </c>
      <c r="L377" t="s">
        <v>867</v>
      </c>
      <c r="M377" t="s">
        <v>738</v>
      </c>
      <c r="N377">
        <v>297.559931506849</v>
      </c>
    </row>
    <row r="378" spans="1:14">
      <c r="A378" t="s">
        <v>1100</v>
      </c>
      <c r="B378" s="2">
        <v>1</v>
      </c>
      <c r="C378">
        <v>2588.8698630137</v>
      </c>
      <c r="L378" t="s">
        <v>869</v>
      </c>
      <c r="M378" t="s">
        <v>275</v>
      </c>
      <c r="N378">
        <v>629.837328767123</v>
      </c>
    </row>
    <row r="379" spans="1:14">
      <c r="A379" t="s">
        <v>1102</v>
      </c>
      <c r="B379" s="2">
        <v>1</v>
      </c>
      <c r="C379">
        <v>2357.02054794521</v>
      </c>
      <c r="L379" t="s">
        <v>871</v>
      </c>
      <c r="M379" t="s">
        <v>403</v>
      </c>
      <c r="N379">
        <v>1120.54794520548</v>
      </c>
    </row>
    <row r="380" spans="1:14">
      <c r="A380" t="s">
        <v>1104</v>
      </c>
      <c r="B380" s="2">
        <v>1</v>
      </c>
      <c r="C380">
        <v>1120.54794520548</v>
      </c>
      <c r="L380" t="s">
        <v>874</v>
      </c>
      <c r="M380" t="s">
        <v>872</v>
      </c>
      <c r="N380">
        <v>2009.28938356164</v>
      </c>
    </row>
    <row r="381" spans="1:14">
      <c r="A381" t="s">
        <v>1107</v>
      </c>
      <c r="B381" s="2">
        <v>1</v>
      </c>
      <c r="C381">
        <v>2434.28938356164</v>
      </c>
      <c r="L381" t="s">
        <v>876</v>
      </c>
      <c r="M381" t="s">
        <v>403</v>
      </c>
      <c r="N381">
        <v>1120.54794520548</v>
      </c>
    </row>
    <row r="382" spans="1:14">
      <c r="A382" t="s">
        <v>1110</v>
      </c>
      <c r="B382" s="2">
        <v>1</v>
      </c>
      <c r="C382">
        <v>2588.8698630137</v>
      </c>
      <c r="L382" t="s">
        <v>877</v>
      </c>
      <c r="M382" t="s">
        <v>403</v>
      </c>
      <c r="N382">
        <v>-1120.54794520548</v>
      </c>
    </row>
    <row r="383" spans="1:14">
      <c r="A383" t="s">
        <v>1112</v>
      </c>
      <c r="B383" s="2">
        <v>1</v>
      </c>
      <c r="C383">
        <v>564.169520547945</v>
      </c>
      <c r="L383" t="s">
        <v>878</v>
      </c>
      <c r="M383" t="s">
        <v>403</v>
      </c>
      <c r="N383">
        <v>1120.54794520548</v>
      </c>
    </row>
    <row r="384" spans="1:14">
      <c r="A384" t="s">
        <v>1114</v>
      </c>
      <c r="B384" s="2">
        <v>1</v>
      </c>
      <c r="C384">
        <v>297.559931506849</v>
      </c>
      <c r="L384" t="s">
        <v>881</v>
      </c>
      <c r="M384" t="s">
        <v>879</v>
      </c>
      <c r="N384">
        <v>2434.28938356164</v>
      </c>
    </row>
    <row r="385" spans="1:14">
      <c r="A385" t="s">
        <v>1117</v>
      </c>
      <c r="B385" s="2">
        <v>1</v>
      </c>
      <c r="C385">
        <v>896.489726027397</v>
      </c>
      <c r="L385" t="s">
        <v>883</v>
      </c>
      <c r="M385" t="s">
        <v>882</v>
      </c>
      <c r="N385">
        <v>3554.83732876712</v>
      </c>
    </row>
    <row r="386" spans="1:14">
      <c r="A386" t="s">
        <v>1120</v>
      </c>
      <c r="B386" s="2">
        <v>1</v>
      </c>
      <c r="C386">
        <v>768.96404109589</v>
      </c>
      <c r="L386" t="s">
        <v>885</v>
      </c>
      <c r="M386" t="s">
        <v>743</v>
      </c>
      <c r="N386">
        <v>463.698630136986</v>
      </c>
    </row>
    <row r="387" spans="1:14">
      <c r="A387" t="s">
        <v>1122</v>
      </c>
      <c r="B387" s="2">
        <v>1</v>
      </c>
      <c r="C387">
        <v>1120.54794520548</v>
      </c>
      <c r="L387" t="s">
        <v>888</v>
      </c>
      <c r="M387" t="s">
        <v>886</v>
      </c>
      <c r="N387">
        <v>3709.41780821918</v>
      </c>
    </row>
    <row r="388" spans="1:14">
      <c r="A388" t="s">
        <v>1125</v>
      </c>
      <c r="B388" s="2">
        <v>1</v>
      </c>
      <c r="C388">
        <v>175422.988013699</v>
      </c>
      <c r="L388" t="s">
        <v>888</v>
      </c>
      <c r="M388" t="s">
        <v>889</v>
      </c>
      <c r="N388">
        <v>5177.69691780822</v>
      </c>
    </row>
    <row r="389" spans="1:14">
      <c r="A389" t="s">
        <v>1127</v>
      </c>
      <c r="B389" s="2">
        <v>1</v>
      </c>
      <c r="C389">
        <v>297.559931506849</v>
      </c>
      <c r="L389" t="s">
        <v>891</v>
      </c>
      <c r="M389" t="s">
        <v>226</v>
      </c>
      <c r="N389">
        <v>2086.55821917808</v>
      </c>
    </row>
    <row r="390" spans="1:14">
      <c r="A390" t="s">
        <v>1136</v>
      </c>
      <c r="C390">
        <v>1492763.98972603</v>
      </c>
      <c r="L390" t="s">
        <v>894</v>
      </c>
      <c r="M390" t="s">
        <v>892</v>
      </c>
      <c r="N390">
        <v>4907.2345890411</v>
      </c>
    </row>
    <row r="391" spans="1:14">
      <c r="L391" t="s">
        <v>894</v>
      </c>
      <c r="M391" t="s">
        <v>740</v>
      </c>
      <c r="N391">
        <v>2434.28938356164</v>
      </c>
    </row>
    <row r="392" spans="1:14">
      <c r="L392" t="s">
        <v>897</v>
      </c>
      <c r="M392" t="s">
        <v>895</v>
      </c>
      <c r="N392">
        <v>1081.93493150685</v>
      </c>
    </row>
    <row r="393" spans="1:14">
      <c r="L393" t="s">
        <v>900</v>
      </c>
      <c r="M393" t="s">
        <v>898</v>
      </c>
      <c r="N393">
        <v>1738.78424657534</v>
      </c>
    </row>
    <row r="394" spans="1:14">
      <c r="L394" t="s">
        <v>900</v>
      </c>
      <c r="M394" t="s">
        <v>901</v>
      </c>
      <c r="N394">
        <v>1738.78424657534</v>
      </c>
    </row>
    <row r="395" spans="1:14">
      <c r="L395" t="s">
        <v>904</v>
      </c>
      <c r="M395" t="s">
        <v>902</v>
      </c>
      <c r="N395">
        <v>4173.07363013699</v>
      </c>
    </row>
    <row r="396" spans="1:14">
      <c r="L396" t="s">
        <v>906</v>
      </c>
      <c r="M396" t="s">
        <v>359</v>
      </c>
      <c r="N396">
        <v>3941.22431506849</v>
      </c>
    </row>
    <row r="397" spans="1:14">
      <c r="L397" t="s">
        <v>906</v>
      </c>
      <c r="M397" t="s">
        <v>907</v>
      </c>
      <c r="N397">
        <v>2704.79452054795</v>
      </c>
    </row>
    <row r="398" spans="1:14">
      <c r="L398" t="s">
        <v>906</v>
      </c>
      <c r="M398" t="s">
        <v>475</v>
      </c>
      <c r="N398">
        <v>401.883561643836</v>
      </c>
    </row>
    <row r="399" spans="1:14">
      <c r="L399" t="s">
        <v>906</v>
      </c>
      <c r="M399" t="s">
        <v>908</v>
      </c>
      <c r="N399">
        <v>10741.7808219178</v>
      </c>
    </row>
    <row r="400" spans="1:14">
      <c r="L400" t="s">
        <v>910</v>
      </c>
      <c r="M400" t="s">
        <v>122</v>
      </c>
      <c r="N400">
        <v>297.559931506849</v>
      </c>
    </row>
    <row r="401" spans="12:14">
      <c r="L401" t="s">
        <v>912</v>
      </c>
      <c r="M401" t="s">
        <v>911</v>
      </c>
      <c r="N401">
        <v>4559.46061643836</v>
      </c>
    </row>
    <row r="402" spans="12:14">
      <c r="L402" t="s">
        <v>913</v>
      </c>
      <c r="M402" t="s">
        <v>229</v>
      </c>
      <c r="N402">
        <v>12210.0599315068</v>
      </c>
    </row>
    <row r="403" spans="12:14">
      <c r="L403" t="s">
        <v>915</v>
      </c>
      <c r="M403" t="s">
        <v>892</v>
      </c>
      <c r="N403">
        <v>4907.2345890411</v>
      </c>
    </row>
    <row r="404" spans="12:14">
      <c r="L404" t="s">
        <v>917</v>
      </c>
      <c r="M404" t="s">
        <v>445</v>
      </c>
      <c r="N404">
        <v>2820.71917808219</v>
      </c>
    </row>
    <row r="405" spans="12:14">
      <c r="L405" t="s">
        <v>920</v>
      </c>
      <c r="M405" t="s">
        <v>918</v>
      </c>
      <c r="N405">
        <v>2936.60102739726</v>
      </c>
    </row>
    <row r="406" spans="12:14">
      <c r="L406" t="s">
        <v>922</v>
      </c>
      <c r="M406" t="s">
        <v>468</v>
      </c>
      <c r="N406">
        <v>1120.54794520548</v>
      </c>
    </row>
    <row r="407" spans="12:14">
      <c r="L407" t="s">
        <v>922</v>
      </c>
      <c r="M407" t="s">
        <v>923</v>
      </c>
      <c r="N407">
        <v>2820.71917808219</v>
      </c>
    </row>
    <row r="408" spans="12:14">
      <c r="L408" t="s">
        <v>926</v>
      </c>
      <c r="M408" t="s">
        <v>924</v>
      </c>
      <c r="N408">
        <v>1970.63356164384</v>
      </c>
    </row>
    <row r="409" spans="12:14">
      <c r="L409" t="s">
        <v>927</v>
      </c>
      <c r="M409" t="s">
        <v>403</v>
      </c>
      <c r="N409">
        <v>1120.54794520548</v>
      </c>
    </row>
    <row r="410" spans="12:14">
      <c r="L410" t="s">
        <v>929</v>
      </c>
      <c r="M410" t="s">
        <v>738</v>
      </c>
      <c r="N410">
        <v>297.559931506849</v>
      </c>
    </row>
    <row r="411" spans="12:14">
      <c r="L411" t="s">
        <v>932</v>
      </c>
      <c r="M411" t="s">
        <v>930</v>
      </c>
      <c r="N411">
        <v>2434.28938356164</v>
      </c>
    </row>
    <row r="412" spans="12:14">
      <c r="L412" t="s">
        <v>932</v>
      </c>
      <c r="M412" t="s">
        <v>933</v>
      </c>
      <c r="N412">
        <v>3400.29965753425</v>
      </c>
    </row>
    <row r="413" spans="12:14">
      <c r="L413" t="s">
        <v>935</v>
      </c>
      <c r="M413" t="s">
        <v>165</v>
      </c>
      <c r="N413">
        <v>401.883561643836</v>
      </c>
    </row>
    <row r="414" spans="12:14">
      <c r="L414" t="s">
        <v>935</v>
      </c>
      <c r="M414" t="s">
        <v>936</v>
      </c>
      <c r="N414">
        <v>1854.70890410959</v>
      </c>
    </row>
    <row r="415" spans="12:14">
      <c r="L415" t="s">
        <v>938</v>
      </c>
      <c r="M415" t="s">
        <v>738</v>
      </c>
      <c r="N415">
        <v>297.559931506849</v>
      </c>
    </row>
    <row r="416" spans="12:14">
      <c r="L416" t="s">
        <v>941</v>
      </c>
      <c r="M416" t="s">
        <v>939</v>
      </c>
      <c r="N416">
        <v>2704.79452054795</v>
      </c>
    </row>
    <row r="417" spans="12:14">
      <c r="L417" t="s">
        <v>941</v>
      </c>
      <c r="M417" t="s">
        <v>105</v>
      </c>
      <c r="N417">
        <v>401.883561643836</v>
      </c>
    </row>
    <row r="418" spans="12:14">
      <c r="L418" t="s">
        <v>943</v>
      </c>
      <c r="M418" t="s">
        <v>918</v>
      </c>
      <c r="N418">
        <v>2936.60102739726</v>
      </c>
    </row>
    <row r="419" spans="12:14">
      <c r="L419" t="s">
        <v>946</v>
      </c>
      <c r="M419" t="s">
        <v>944</v>
      </c>
      <c r="N419">
        <v>16614.9828767123</v>
      </c>
    </row>
    <row r="420" spans="12:14">
      <c r="L420" t="s">
        <v>949</v>
      </c>
      <c r="M420" t="s">
        <v>947</v>
      </c>
      <c r="N420">
        <v>1970.63356164384</v>
      </c>
    </row>
    <row r="421" spans="12:14">
      <c r="L421" t="s">
        <v>949</v>
      </c>
      <c r="M421" t="s">
        <v>950</v>
      </c>
      <c r="N421">
        <v>1970.63356164384</v>
      </c>
    </row>
    <row r="422" spans="12:14">
      <c r="L422" t="s">
        <v>953</v>
      </c>
      <c r="M422" t="s">
        <v>951</v>
      </c>
      <c r="N422">
        <v>285.958904109589</v>
      </c>
    </row>
    <row r="423" spans="12:14">
      <c r="L423" t="s">
        <v>955</v>
      </c>
      <c r="M423" t="s">
        <v>954</v>
      </c>
      <c r="N423">
        <v>3554.83732876712</v>
      </c>
    </row>
    <row r="424" spans="12:14">
      <c r="L424" t="s">
        <v>955</v>
      </c>
      <c r="M424" t="s">
        <v>105</v>
      </c>
      <c r="N424">
        <v>401.883561643836</v>
      </c>
    </row>
    <row r="425" spans="12:14">
      <c r="L425" t="s">
        <v>958</v>
      </c>
      <c r="M425" t="s">
        <v>956</v>
      </c>
      <c r="N425">
        <v>2086.55821917808</v>
      </c>
    </row>
    <row r="426" spans="12:14">
      <c r="L426" t="s">
        <v>960</v>
      </c>
      <c r="M426" t="s">
        <v>959</v>
      </c>
      <c r="N426">
        <v>3438.91267123288</v>
      </c>
    </row>
    <row r="427" spans="12:14">
      <c r="L427" t="s">
        <v>962</v>
      </c>
      <c r="M427" t="s">
        <v>403</v>
      </c>
      <c r="N427">
        <v>1120.54794520548</v>
      </c>
    </row>
    <row r="428" spans="12:14">
      <c r="L428" t="s">
        <v>965</v>
      </c>
      <c r="M428" t="s">
        <v>963</v>
      </c>
      <c r="N428">
        <v>2588.8698630137</v>
      </c>
    </row>
    <row r="429" spans="12:14">
      <c r="L429" t="s">
        <v>967</v>
      </c>
      <c r="M429" t="s">
        <v>606</v>
      </c>
      <c r="N429">
        <v>2202.48287671233</v>
      </c>
    </row>
    <row r="430" spans="12:14">
      <c r="L430" t="s">
        <v>969</v>
      </c>
      <c r="M430" t="s">
        <v>951</v>
      </c>
      <c r="N430">
        <v>285.958904109589</v>
      </c>
    </row>
    <row r="431" spans="12:14">
      <c r="L431" t="s">
        <v>969</v>
      </c>
      <c r="M431" t="s">
        <v>416</v>
      </c>
      <c r="N431">
        <v>347.77397260274</v>
      </c>
    </row>
    <row r="432" spans="12:14">
      <c r="L432" t="s">
        <v>972</v>
      </c>
      <c r="M432" t="s">
        <v>970</v>
      </c>
      <c r="N432">
        <v>3052.52568493151</v>
      </c>
    </row>
    <row r="433" spans="12:14">
      <c r="L433" t="s">
        <v>975</v>
      </c>
      <c r="M433" t="s">
        <v>973</v>
      </c>
      <c r="N433">
        <v>2086.55821917808</v>
      </c>
    </row>
    <row r="434" spans="12:14">
      <c r="L434" t="s">
        <v>978</v>
      </c>
      <c r="M434" t="s">
        <v>976</v>
      </c>
      <c r="N434">
        <v>1159.20376712329</v>
      </c>
    </row>
    <row r="435" spans="12:14">
      <c r="L435" t="s">
        <v>981</v>
      </c>
      <c r="M435" t="s">
        <v>979</v>
      </c>
      <c r="N435">
        <v>9118.92123287671</v>
      </c>
    </row>
    <row r="436" spans="12:14">
      <c r="L436" t="s">
        <v>983</v>
      </c>
      <c r="M436" t="s">
        <v>973</v>
      </c>
      <c r="N436">
        <v>2086.55821917808</v>
      </c>
    </row>
    <row r="437" spans="12:14">
      <c r="L437" t="s">
        <v>987</v>
      </c>
      <c r="M437" t="s">
        <v>985</v>
      </c>
      <c r="N437">
        <v>494.606164383562</v>
      </c>
    </row>
    <row r="438" spans="12:14">
      <c r="L438" t="s">
        <v>990</v>
      </c>
      <c r="M438" t="s">
        <v>988</v>
      </c>
      <c r="N438">
        <v>3323.03082191781</v>
      </c>
    </row>
    <row r="439" spans="12:14">
      <c r="L439" t="s">
        <v>993</v>
      </c>
      <c r="M439" t="s">
        <v>991</v>
      </c>
      <c r="N439">
        <v>1622.8595890411</v>
      </c>
    </row>
    <row r="440" spans="12:14">
      <c r="L440" t="s">
        <v>995</v>
      </c>
      <c r="M440" t="s">
        <v>831</v>
      </c>
      <c r="N440">
        <v>297.559931506849</v>
      </c>
    </row>
    <row r="441" spans="12:14">
      <c r="L441" t="s">
        <v>997</v>
      </c>
      <c r="M441" t="s">
        <v>918</v>
      </c>
      <c r="N441">
        <v>2936.60102739726</v>
      </c>
    </row>
    <row r="442" spans="12:14">
      <c r="L442" t="s">
        <v>998</v>
      </c>
      <c r="M442" t="s">
        <v>484</v>
      </c>
      <c r="N442">
        <v>463.698630136986</v>
      </c>
    </row>
    <row r="443" spans="12:14">
      <c r="L443" t="s">
        <v>1001</v>
      </c>
      <c r="M443" t="s">
        <v>999</v>
      </c>
      <c r="N443">
        <v>3284.375</v>
      </c>
    </row>
    <row r="444" spans="12:14">
      <c r="L444" t="s">
        <v>1001</v>
      </c>
      <c r="M444" t="s">
        <v>1002</v>
      </c>
      <c r="N444">
        <v>2395.67636986301</v>
      </c>
    </row>
    <row r="445" spans="12:14">
      <c r="L445" t="s">
        <v>1005</v>
      </c>
      <c r="M445" t="s">
        <v>1003</v>
      </c>
      <c r="N445">
        <v>10046.2756849315</v>
      </c>
    </row>
    <row r="446" spans="12:14">
      <c r="L446" t="s">
        <v>1008</v>
      </c>
      <c r="M446" t="s">
        <v>1006</v>
      </c>
      <c r="N446">
        <v>1159.20376712329</v>
      </c>
    </row>
    <row r="447" spans="12:14">
      <c r="L447" t="s">
        <v>1011</v>
      </c>
      <c r="M447" t="s">
        <v>1009</v>
      </c>
      <c r="N447">
        <v>1970.63356164384</v>
      </c>
    </row>
    <row r="448" spans="12:14">
      <c r="L448" t="s">
        <v>1014</v>
      </c>
      <c r="M448" t="s">
        <v>1012</v>
      </c>
      <c r="N448">
        <v>25811.1729452055</v>
      </c>
    </row>
    <row r="449" spans="12:14">
      <c r="L449" t="s">
        <v>1016</v>
      </c>
      <c r="M449" t="s">
        <v>214</v>
      </c>
      <c r="N449">
        <v>1854.70890410959</v>
      </c>
    </row>
    <row r="450" spans="12:14">
      <c r="L450" t="s">
        <v>1018</v>
      </c>
      <c r="M450" t="s">
        <v>643</v>
      </c>
      <c r="N450">
        <v>2434.28938356164</v>
      </c>
    </row>
    <row r="451" spans="12:14">
      <c r="L451" t="s">
        <v>1021</v>
      </c>
      <c r="M451" t="s">
        <v>1019</v>
      </c>
      <c r="N451">
        <v>583.47602739726</v>
      </c>
    </row>
    <row r="452" spans="12:14">
      <c r="L452" t="s">
        <v>1022</v>
      </c>
      <c r="M452" t="s">
        <v>199</v>
      </c>
      <c r="N452">
        <v>2357.02054794521</v>
      </c>
    </row>
    <row r="453" spans="12:14">
      <c r="L453" t="s">
        <v>1025</v>
      </c>
      <c r="M453" t="s">
        <v>1023</v>
      </c>
      <c r="N453">
        <v>4404.92294520548</v>
      </c>
    </row>
    <row r="454" spans="12:14">
      <c r="L454" t="s">
        <v>1028</v>
      </c>
      <c r="M454" t="s">
        <v>1026</v>
      </c>
      <c r="N454">
        <v>2550.21404109589</v>
      </c>
    </row>
    <row r="455" spans="12:14">
      <c r="L455" t="s">
        <v>1031</v>
      </c>
      <c r="M455" t="s">
        <v>1029</v>
      </c>
      <c r="N455">
        <v>297.559931506849</v>
      </c>
    </row>
    <row r="456" spans="12:14">
      <c r="L456" t="s">
        <v>1033</v>
      </c>
      <c r="M456" t="s">
        <v>1032</v>
      </c>
      <c r="N456">
        <v>2357.02054794521</v>
      </c>
    </row>
    <row r="457" spans="12:14">
      <c r="L457" t="s">
        <v>1035</v>
      </c>
      <c r="M457" t="s">
        <v>1034</v>
      </c>
      <c r="N457">
        <v>401.883561643836</v>
      </c>
    </row>
    <row r="458" spans="12:14">
      <c r="L458" t="s">
        <v>1037</v>
      </c>
      <c r="M458" t="s">
        <v>1036</v>
      </c>
      <c r="N458">
        <v>6955.13698630137</v>
      </c>
    </row>
    <row r="459" spans="12:14">
      <c r="L459" t="s">
        <v>1039</v>
      </c>
      <c r="M459" t="s">
        <v>1038</v>
      </c>
      <c r="N459">
        <v>11437.2859589041</v>
      </c>
    </row>
    <row r="460" spans="12:14">
      <c r="L460" t="s">
        <v>1042</v>
      </c>
      <c r="M460" t="s">
        <v>1040</v>
      </c>
      <c r="N460">
        <v>3052.52568493151</v>
      </c>
    </row>
    <row r="461" spans="12:14">
      <c r="L461" t="s">
        <v>1042</v>
      </c>
      <c r="M461" t="s">
        <v>1043</v>
      </c>
      <c r="N461">
        <v>91189.0410958904</v>
      </c>
    </row>
    <row r="462" spans="12:14">
      <c r="L462" t="s">
        <v>1045</v>
      </c>
      <c r="M462" t="s">
        <v>158</v>
      </c>
      <c r="N462">
        <v>4443.53595890411</v>
      </c>
    </row>
    <row r="463" spans="12:14">
      <c r="L463" t="s">
        <v>1048</v>
      </c>
      <c r="M463" t="s">
        <v>1046</v>
      </c>
      <c r="N463">
        <v>297.559931506849</v>
      </c>
    </row>
    <row r="464" spans="12:14">
      <c r="L464" t="s">
        <v>1051</v>
      </c>
      <c r="M464" t="s">
        <v>1049</v>
      </c>
      <c r="N464">
        <v>2357.02054794521</v>
      </c>
    </row>
    <row r="465" spans="12:14">
      <c r="L465" t="s">
        <v>1053</v>
      </c>
      <c r="M465" t="s">
        <v>918</v>
      </c>
      <c r="N465">
        <v>2936.60102739726</v>
      </c>
    </row>
    <row r="466" spans="12:14">
      <c r="L466" t="s">
        <v>1055</v>
      </c>
      <c r="M466" t="s">
        <v>659</v>
      </c>
      <c r="N466">
        <v>3941.22431506849</v>
      </c>
    </row>
    <row r="467" spans="12:14">
      <c r="L467" t="s">
        <v>1057</v>
      </c>
      <c r="M467" t="s">
        <v>1056</v>
      </c>
      <c r="N467">
        <v>347.77397260274</v>
      </c>
    </row>
    <row r="468" spans="12:14">
      <c r="L468" t="s">
        <v>1060</v>
      </c>
      <c r="M468" t="s">
        <v>1058</v>
      </c>
      <c r="N468">
        <v>1236.47260273973</v>
      </c>
    </row>
    <row r="469" spans="12:14">
      <c r="L469" t="s">
        <v>1063</v>
      </c>
      <c r="M469" t="s">
        <v>1061</v>
      </c>
      <c r="N469">
        <v>5370.8904109589</v>
      </c>
    </row>
    <row r="470" spans="12:14">
      <c r="L470" t="s">
        <v>1065</v>
      </c>
      <c r="M470" t="s">
        <v>1064</v>
      </c>
      <c r="N470">
        <v>2434.28938356164</v>
      </c>
    </row>
    <row r="471" spans="12:14">
      <c r="L471" t="s">
        <v>1068</v>
      </c>
      <c r="M471" t="s">
        <v>1066</v>
      </c>
      <c r="N471">
        <v>3052.52568493151</v>
      </c>
    </row>
    <row r="472" spans="12:14">
      <c r="L472" t="s">
        <v>1071</v>
      </c>
      <c r="M472" t="s">
        <v>1069</v>
      </c>
      <c r="N472">
        <v>316.866438356164</v>
      </c>
    </row>
    <row r="473" spans="12:14">
      <c r="L473" t="s">
        <v>1074</v>
      </c>
      <c r="M473" t="s">
        <v>1072</v>
      </c>
      <c r="N473">
        <v>966.010273972603</v>
      </c>
    </row>
    <row r="474" spans="12:14">
      <c r="L474" t="s">
        <v>1075</v>
      </c>
      <c r="M474" t="s">
        <v>1072</v>
      </c>
      <c r="N474">
        <v>-966.010273972603</v>
      </c>
    </row>
    <row r="475" spans="12:14">
      <c r="L475" t="s">
        <v>1076</v>
      </c>
      <c r="M475" t="s">
        <v>1072</v>
      </c>
      <c r="N475">
        <v>966.010273972603</v>
      </c>
    </row>
    <row r="476" spans="12:14">
      <c r="L476" t="s">
        <v>1079</v>
      </c>
      <c r="M476" t="s">
        <v>1077</v>
      </c>
      <c r="N476">
        <v>583.47602739726</v>
      </c>
    </row>
    <row r="477" spans="12:14">
      <c r="L477" t="s">
        <v>1081</v>
      </c>
      <c r="M477" t="s">
        <v>555</v>
      </c>
      <c r="N477">
        <v>297.559931506849</v>
      </c>
    </row>
    <row r="478" spans="12:14">
      <c r="L478" t="s">
        <v>1084</v>
      </c>
      <c r="M478" t="s">
        <v>1082</v>
      </c>
      <c r="N478">
        <v>1275.12842465753</v>
      </c>
    </row>
    <row r="479" spans="12:14">
      <c r="L479" t="s">
        <v>1087</v>
      </c>
      <c r="M479" t="s">
        <v>1085</v>
      </c>
      <c r="N479">
        <v>1352.39726027397</v>
      </c>
    </row>
    <row r="480" spans="12:14">
      <c r="L480" t="s">
        <v>1089</v>
      </c>
      <c r="M480" t="s">
        <v>692</v>
      </c>
      <c r="N480">
        <v>2588.8698630137</v>
      </c>
    </row>
    <row r="481" spans="12:14">
      <c r="L481" t="s">
        <v>1092</v>
      </c>
      <c r="M481" t="s">
        <v>1090</v>
      </c>
      <c r="N481">
        <v>2434.28938356164</v>
      </c>
    </row>
    <row r="482" spans="12:14">
      <c r="L482" t="s">
        <v>1094</v>
      </c>
      <c r="M482" t="s">
        <v>417</v>
      </c>
      <c r="N482">
        <v>332.320205479452</v>
      </c>
    </row>
    <row r="483" spans="12:14">
      <c r="L483" t="s">
        <v>1096</v>
      </c>
      <c r="M483" t="s">
        <v>260</v>
      </c>
      <c r="N483">
        <v>2357.02054794521</v>
      </c>
    </row>
    <row r="484" spans="12:14">
      <c r="L484" t="s">
        <v>1097</v>
      </c>
      <c r="M484" t="s">
        <v>692</v>
      </c>
      <c r="N484">
        <v>-2588.8698630137</v>
      </c>
    </row>
    <row r="485" spans="12:14">
      <c r="L485" t="s">
        <v>1099</v>
      </c>
      <c r="M485" t="s">
        <v>417</v>
      </c>
      <c r="N485">
        <v>332.320205479452</v>
      </c>
    </row>
    <row r="486" spans="12:14">
      <c r="L486" t="s">
        <v>1100</v>
      </c>
      <c r="M486" t="s">
        <v>692</v>
      </c>
      <c r="N486">
        <v>2588.8698630137</v>
      </c>
    </row>
    <row r="487" spans="12:14">
      <c r="L487" t="s">
        <v>1102</v>
      </c>
      <c r="M487" t="s">
        <v>155</v>
      </c>
      <c r="N487">
        <v>2357.02054794521</v>
      </c>
    </row>
    <row r="488" spans="12:14">
      <c r="L488" t="s">
        <v>1104</v>
      </c>
      <c r="M488" t="s">
        <v>403</v>
      </c>
      <c r="N488">
        <v>1120.54794520548</v>
      </c>
    </row>
    <row r="489" spans="12:14">
      <c r="L489" t="s">
        <v>1107</v>
      </c>
      <c r="M489" t="s">
        <v>1105</v>
      </c>
      <c r="N489">
        <v>2434.28938356164</v>
      </c>
    </row>
    <row r="490" spans="12:14">
      <c r="L490" t="s">
        <v>1110</v>
      </c>
      <c r="M490" t="s">
        <v>1108</v>
      </c>
      <c r="N490">
        <v>2588.8698630137</v>
      </c>
    </row>
    <row r="491" spans="12:14">
      <c r="L491" t="s">
        <v>1112</v>
      </c>
      <c r="M491" t="s">
        <v>631</v>
      </c>
      <c r="N491">
        <v>564.169520547945</v>
      </c>
    </row>
    <row r="492" spans="12:14">
      <c r="L492" t="s">
        <v>1114</v>
      </c>
      <c r="M492" t="s">
        <v>1046</v>
      </c>
      <c r="N492">
        <v>297.559931506849</v>
      </c>
    </row>
    <row r="493" spans="12:14">
      <c r="L493" t="s">
        <v>1117</v>
      </c>
      <c r="M493" t="s">
        <v>1115</v>
      </c>
      <c r="N493">
        <v>332.320205479452</v>
      </c>
    </row>
    <row r="494" spans="12:14">
      <c r="L494" t="s">
        <v>1117</v>
      </c>
      <c r="M494" t="s">
        <v>727</v>
      </c>
      <c r="N494">
        <v>564.169520547945</v>
      </c>
    </row>
    <row r="495" spans="12:14">
      <c r="L495" t="s">
        <v>1120</v>
      </c>
      <c r="M495" t="s">
        <v>1118</v>
      </c>
      <c r="N495">
        <v>768.96404109589</v>
      </c>
    </row>
    <row r="496" spans="12:14">
      <c r="L496" t="s">
        <v>1122</v>
      </c>
      <c r="M496" t="s">
        <v>243</v>
      </c>
      <c r="N496">
        <v>1120.54794520548</v>
      </c>
    </row>
    <row r="497" spans="12:14">
      <c r="L497" t="s">
        <v>1125</v>
      </c>
      <c r="M497" t="s">
        <v>1123</v>
      </c>
      <c r="N497">
        <v>175422.988013699</v>
      </c>
    </row>
    <row r="498" spans="12:14">
      <c r="L498" t="s">
        <v>1127</v>
      </c>
      <c r="M498" t="s">
        <v>1029</v>
      </c>
      <c r="N498">
        <v>297.559931506849</v>
      </c>
    </row>
    <row r="499" spans="12:14">
      <c r="L499" t="s">
        <v>1136</v>
      </c>
      <c r="N499">
        <v>1492763.98972603</v>
      </c>
    </row>
  </sheetData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7"/>
  <sheetViews>
    <sheetView workbookViewId="0">
      <pane xSplit="2" ySplit="7" topLeftCell="F75" activePane="bottomRight" state="frozen"/>
      <selection/>
      <selection pane="topRight"/>
      <selection pane="bottomLeft"/>
      <selection pane="bottomRight" activeCell="N2" sqref="N2"/>
    </sheetView>
  </sheetViews>
  <sheetFormatPr defaultColWidth="9" defaultRowHeight="14.4"/>
  <cols>
    <col min="1" max="1" width="21.5740740740741" customWidth="1"/>
    <col min="2" max="2" width="20" customWidth="1"/>
    <col min="5" max="5" width="20.4259259259259" customWidth="1"/>
    <col min="7" max="7" width="17.712962962963" customWidth="1"/>
    <col min="9" max="9" width="36.712962962963" customWidth="1"/>
    <col min="10" max="10" width="8.71296296296296" customWidth="1"/>
    <col min="11" max="11" width="11.1388888888889" customWidth="1"/>
    <col min="12" max="12" width="7" customWidth="1"/>
    <col min="13" max="13" width="23.287037037037" customWidth="1"/>
    <col min="14" max="14" width="33.5740740740741" customWidth="1"/>
    <col min="15" max="15" width="22.1388888888889" customWidth="1"/>
  </cols>
  <sheetData>
    <row r="1" spans="1:15">
      <c r="A1" t="s">
        <v>51</v>
      </c>
      <c r="B1" t="s">
        <v>1133</v>
      </c>
      <c r="E1" t="s">
        <v>52</v>
      </c>
      <c r="F1" t="s">
        <v>53</v>
      </c>
      <c r="G1" t="s">
        <v>1133</v>
      </c>
      <c r="I1" t="s">
        <v>50</v>
      </c>
      <c r="J1" t="s">
        <v>1134</v>
      </c>
      <c r="K1" t="s">
        <v>1133</v>
      </c>
      <c r="M1" t="s">
        <v>52</v>
      </c>
      <c r="N1" t="s">
        <v>50</v>
      </c>
      <c r="O1" t="s">
        <v>1133</v>
      </c>
    </row>
    <row r="2" spans="1:15">
      <c r="A2" t="s">
        <v>602</v>
      </c>
      <c r="B2">
        <v>792.166095890411</v>
      </c>
      <c r="E2" t="s">
        <v>62</v>
      </c>
      <c r="F2">
        <v>1</v>
      </c>
      <c r="G2">
        <v>231.849315068493</v>
      </c>
      <c r="I2" t="s">
        <v>882</v>
      </c>
      <c r="J2">
        <v>1</v>
      </c>
      <c r="K2">
        <v>3554.83732876712</v>
      </c>
      <c r="M2" t="s">
        <v>65</v>
      </c>
      <c r="N2" t="s">
        <v>63</v>
      </c>
      <c r="O2">
        <f>SUMIFS('Raw data'!$J:$J,'Raw data'!$F:$F,'Data pivot'!M2)</f>
        <v>1928.16780821918</v>
      </c>
    </row>
    <row r="3" spans="1:15">
      <c r="A3" t="s">
        <v>968</v>
      </c>
      <c r="B3">
        <v>633.732876712329</v>
      </c>
      <c r="E3" t="s">
        <v>65</v>
      </c>
      <c r="F3">
        <v>1</v>
      </c>
      <c r="G3">
        <v>1928.16780821918</v>
      </c>
      <c r="I3" t="s">
        <v>606</v>
      </c>
      <c r="J3">
        <v>3</v>
      </c>
      <c r="K3">
        <v>6607.44863013699</v>
      </c>
      <c r="M3" t="s">
        <v>72</v>
      </c>
      <c r="N3" t="s">
        <v>70</v>
      </c>
      <c r="O3">
        <f>SUMIFS('Raw data'!$J:$J,'Raw data'!$F:$F,'Data pivot'!M3)</f>
        <v>2472.94520547945</v>
      </c>
    </row>
    <row r="4" spans="1:15">
      <c r="A4" t="s">
        <v>237</v>
      </c>
      <c r="B4">
        <v>14064.7688356164</v>
      </c>
      <c r="E4" t="s">
        <v>69</v>
      </c>
      <c r="F4">
        <v>1</v>
      </c>
      <c r="G4">
        <v>2009.28938356164</v>
      </c>
      <c r="I4" t="s">
        <v>356</v>
      </c>
      <c r="J4">
        <v>3</v>
      </c>
      <c r="K4">
        <v>5216.35273972603</v>
      </c>
      <c r="M4" t="s">
        <v>79</v>
      </c>
      <c r="N4" t="s">
        <v>77</v>
      </c>
      <c r="O4">
        <f>SUMIFS('Raw data'!$J:$J,'Raw data'!$F:$F,'Data pivot'!M4)</f>
        <v>533.304794520548</v>
      </c>
    </row>
    <row r="5" spans="1:15">
      <c r="A5" t="s">
        <v>1083</v>
      </c>
      <c r="B5">
        <v>1275.12842465753</v>
      </c>
      <c r="E5" t="s">
        <v>72</v>
      </c>
      <c r="F5">
        <v>1</v>
      </c>
      <c r="G5">
        <v>2472.94520547945</v>
      </c>
      <c r="I5" t="s">
        <v>162</v>
      </c>
      <c r="J5">
        <v>1</v>
      </c>
      <c r="K5">
        <v>3554.83732876712</v>
      </c>
      <c r="M5" t="s">
        <v>93</v>
      </c>
      <c r="N5" t="s">
        <v>91</v>
      </c>
      <c r="O5">
        <f>SUMIFS('Raw data'!$J:$J,'Raw data'!$F:$F,'Data pivot'!M5)</f>
        <v>3632.14897260274</v>
      </c>
    </row>
    <row r="6" spans="1:15">
      <c r="A6" t="s">
        <v>744</v>
      </c>
      <c r="B6">
        <v>463.698630136986</v>
      </c>
      <c r="E6" t="s">
        <v>76</v>
      </c>
      <c r="F6">
        <v>1</v>
      </c>
      <c r="G6">
        <v>4907.2345890411</v>
      </c>
      <c r="I6" t="s">
        <v>260</v>
      </c>
      <c r="J6">
        <v>2</v>
      </c>
      <c r="K6">
        <v>4714.04109589041</v>
      </c>
      <c r="M6" t="s">
        <v>104</v>
      </c>
      <c r="N6" t="s">
        <v>102</v>
      </c>
      <c r="O6">
        <f>SUMIFS('Raw data'!$J:$J,'Raw data'!$F:$F,'Data pivot'!M6)</f>
        <v>4335.44520547945</v>
      </c>
    </row>
    <row r="7" spans="1:15">
      <c r="A7" t="s">
        <v>346</v>
      </c>
      <c r="B7">
        <v>7998.41609589041</v>
      </c>
      <c r="E7" t="s">
        <v>79</v>
      </c>
      <c r="F7">
        <v>1</v>
      </c>
      <c r="G7">
        <v>533.304794520548</v>
      </c>
      <c r="I7" t="s">
        <v>536</v>
      </c>
      <c r="J7">
        <v>1</v>
      </c>
      <c r="K7">
        <v>1352.39726027397</v>
      </c>
      <c r="M7" t="s">
        <v>120</v>
      </c>
      <c r="N7" t="s">
        <v>118</v>
      </c>
      <c r="O7">
        <f>SUMIFS('Raw data'!$J:$J,'Raw data'!$F:$F,'Data pivot'!M7)</f>
        <v>2704.83732876712</v>
      </c>
    </row>
    <row r="8" spans="1:15">
      <c r="A8" t="s">
        <v>1024</v>
      </c>
      <c r="B8">
        <v>4404.92294520548</v>
      </c>
      <c r="E8" t="s">
        <v>83</v>
      </c>
      <c r="F8">
        <v>1</v>
      </c>
      <c r="G8">
        <v>266.652397260274</v>
      </c>
      <c r="I8" t="s">
        <v>812</v>
      </c>
      <c r="J8">
        <v>1</v>
      </c>
      <c r="K8">
        <v>1043.27910958904</v>
      </c>
      <c r="M8" t="s">
        <v>127</v>
      </c>
      <c r="N8" t="s">
        <v>125</v>
      </c>
      <c r="O8">
        <f>SUMIFS('Raw data'!$J:$J,'Raw data'!$F:$F,'Data pivot'!M8)</f>
        <v>7727.99657534247</v>
      </c>
    </row>
    <row r="9" spans="1:15">
      <c r="A9" t="s">
        <v>126</v>
      </c>
      <c r="B9">
        <v>14339.2979452055</v>
      </c>
      <c r="E9" t="s">
        <v>86</v>
      </c>
      <c r="F9">
        <v>1</v>
      </c>
      <c r="G9">
        <v>266.652397260274</v>
      </c>
      <c r="I9" t="s">
        <v>872</v>
      </c>
      <c r="J9">
        <v>1</v>
      </c>
      <c r="K9">
        <v>2009.28938356164</v>
      </c>
      <c r="M9" t="s">
        <v>139</v>
      </c>
      <c r="N9" t="s">
        <v>137</v>
      </c>
      <c r="O9">
        <f>SUMIFS('Raw data'!$J:$J,'Raw data'!$F:$F,'Data pivot'!M9)</f>
        <v>757.405821917808</v>
      </c>
    </row>
    <row r="10" spans="1:15">
      <c r="A10" t="s">
        <v>821</v>
      </c>
      <c r="B10">
        <v>6375.51369863014</v>
      </c>
      <c r="E10" t="s">
        <v>87</v>
      </c>
      <c r="F10">
        <v>-1</v>
      </c>
      <c r="G10">
        <v>-266.652397260274</v>
      </c>
      <c r="I10" t="s">
        <v>67</v>
      </c>
      <c r="J10">
        <v>1</v>
      </c>
      <c r="K10">
        <v>2009.28938356164</v>
      </c>
      <c r="M10" t="s">
        <v>157</v>
      </c>
      <c r="N10" t="s">
        <v>155</v>
      </c>
      <c r="O10">
        <f>SUMIFS('Raw data'!$J:$J,'Raw data'!$F:$F,'Data pivot'!M10)</f>
        <v>6800.55650684932</v>
      </c>
    </row>
    <row r="11" spans="1:15">
      <c r="A11" t="s">
        <v>1101</v>
      </c>
      <c r="B11">
        <v>2357.02054794521</v>
      </c>
      <c r="E11" t="s">
        <v>88</v>
      </c>
      <c r="F11">
        <v>-1</v>
      </c>
      <c r="G11">
        <v>-266.652397260274</v>
      </c>
      <c r="I11" t="s">
        <v>669</v>
      </c>
      <c r="J11">
        <v>1</v>
      </c>
      <c r="K11">
        <v>8577.95376712329</v>
      </c>
      <c r="M11" t="s">
        <v>164</v>
      </c>
      <c r="N11" t="s">
        <v>162</v>
      </c>
      <c r="O11">
        <f>SUMIFS('Raw data'!$J:$J,'Raw data'!$F:$F,'Data pivot'!M11)</f>
        <v>6823.80136986301</v>
      </c>
    </row>
    <row r="12" spans="1:15">
      <c r="A12" t="s">
        <v>393</v>
      </c>
      <c r="B12">
        <v>26108.7328767123</v>
      </c>
      <c r="E12" t="s">
        <v>90</v>
      </c>
      <c r="F12">
        <v>1</v>
      </c>
      <c r="G12">
        <v>266.652397260274</v>
      </c>
      <c r="I12" t="s">
        <v>939</v>
      </c>
      <c r="J12">
        <v>1</v>
      </c>
      <c r="K12">
        <v>2704.79452054795</v>
      </c>
      <c r="M12" t="s">
        <v>168</v>
      </c>
      <c r="N12" t="s">
        <v>118</v>
      </c>
      <c r="O12">
        <f>SUMIFS('Raw data'!$J:$J,'Raw data'!$F:$F,'Data pivot'!M12)</f>
        <v>2975.29965753425</v>
      </c>
    </row>
    <row r="13" spans="1:15">
      <c r="A13" t="s">
        <v>667</v>
      </c>
      <c r="B13">
        <v>10896.3613013699</v>
      </c>
      <c r="E13" t="s">
        <v>93</v>
      </c>
      <c r="F13">
        <v>1</v>
      </c>
      <c r="G13">
        <v>3632.14897260274</v>
      </c>
      <c r="I13" t="s">
        <v>954</v>
      </c>
      <c r="J13">
        <v>1</v>
      </c>
      <c r="K13">
        <v>3554.83732876712</v>
      </c>
      <c r="M13" t="s">
        <v>172</v>
      </c>
      <c r="N13" t="s">
        <v>170</v>
      </c>
      <c r="O13">
        <f>SUMIFS('Raw data'!$J:$J,'Raw data'!$F:$F,'Data pivot'!M13)</f>
        <v>3709.41780821918</v>
      </c>
    </row>
    <row r="14" spans="1:15">
      <c r="A14" t="s">
        <v>806</v>
      </c>
      <c r="B14">
        <v>4211.72945205479</v>
      </c>
      <c r="E14" t="s">
        <v>96</v>
      </c>
      <c r="F14">
        <v>1</v>
      </c>
      <c r="G14">
        <v>2704.79452054795</v>
      </c>
      <c r="I14" t="s">
        <v>770</v>
      </c>
      <c r="J14">
        <v>1</v>
      </c>
      <c r="K14">
        <v>2163.82705479452</v>
      </c>
      <c r="M14" t="s">
        <v>182</v>
      </c>
      <c r="N14" t="s">
        <v>180</v>
      </c>
      <c r="O14">
        <f>SUMIFS('Raw data'!$J:$J,'Raw data'!$F:$F,'Data pivot'!M14)</f>
        <v>2511.60102739726</v>
      </c>
    </row>
    <row r="15" spans="1:15">
      <c r="A15" t="s">
        <v>178</v>
      </c>
      <c r="B15">
        <v>583.47602739726</v>
      </c>
      <c r="E15" t="s">
        <v>97</v>
      </c>
      <c r="F15">
        <v>1</v>
      </c>
      <c r="G15">
        <v>266.652397260274</v>
      </c>
      <c r="I15" t="s">
        <v>318</v>
      </c>
      <c r="J15">
        <v>2</v>
      </c>
      <c r="K15">
        <v>5873.20205479452</v>
      </c>
      <c r="M15" t="s">
        <v>197</v>
      </c>
      <c r="N15" t="s">
        <v>195</v>
      </c>
      <c r="O15">
        <f>SUMIFS('Raw data'!$J:$J,'Raw data'!$F:$F,'Data pivot'!M15)</f>
        <v>5911.90068493151</v>
      </c>
    </row>
    <row r="16" spans="1:15">
      <c r="A16" t="s">
        <v>771</v>
      </c>
      <c r="B16">
        <v>2163.82705479452</v>
      </c>
      <c r="E16" t="s">
        <v>98</v>
      </c>
      <c r="F16">
        <v>1</v>
      </c>
      <c r="G16">
        <v>266.652397260274</v>
      </c>
      <c r="I16" t="s">
        <v>659</v>
      </c>
      <c r="J16">
        <v>3</v>
      </c>
      <c r="K16">
        <v>11823.6729452055</v>
      </c>
      <c r="M16" t="s">
        <v>206</v>
      </c>
      <c r="N16" t="s">
        <v>204</v>
      </c>
      <c r="O16">
        <f>SUMIFS('Raw data'!$J:$J,'Raw data'!$F:$F,'Data pivot'!M16)</f>
        <v>6761.94349315068</v>
      </c>
    </row>
    <row r="17" spans="1:15">
      <c r="A17" t="s">
        <v>614</v>
      </c>
      <c r="B17">
        <v>595.119863013699</v>
      </c>
      <c r="E17" t="s">
        <v>101</v>
      </c>
      <c r="F17">
        <v>1</v>
      </c>
      <c r="G17">
        <v>1120.54794520548</v>
      </c>
      <c r="I17" t="s">
        <v>268</v>
      </c>
      <c r="J17">
        <v>3</v>
      </c>
      <c r="K17">
        <v>11823.6729452055</v>
      </c>
      <c r="M17" t="s">
        <v>213</v>
      </c>
      <c r="N17" t="s">
        <v>211</v>
      </c>
      <c r="O17">
        <f>SUMIFS('Raw data'!$J:$J,'Raw data'!$F:$F,'Data pivot'!M17)</f>
        <v>6530.09417808219</v>
      </c>
    </row>
    <row r="18" spans="1:15">
      <c r="A18" t="s">
        <v>276</v>
      </c>
      <c r="B18">
        <v>1124.44349315068</v>
      </c>
      <c r="E18" t="s">
        <v>104</v>
      </c>
      <c r="F18">
        <v>1</v>
      </c>
      <c r="G18">
        <v>4335.44520547945</v>
      </c>
      <c r="I18" t="s">
        <v>844</v>
      </c>
      <c r="J18">
        <v>1</v>
      </c>
      <c r="K18">
        <v>2434.28938356164</v>
      </c>
      <c r="M18" t="s">
        <v>218</v>
      </c>
      <c r="N18" t="s">
        <v>216</v>
      </c>
      <c r="O18">
        <f>SUMIFS('Raw data'!$J:$J,'Raw data'!$F:$F,'Data pivot'!M18)</f>
        <v>4057.14897260274</v>
      </c>
    </row>
    <row r="19" spans="1:15">
      <c r="A19" t="s">
        <v>227</v>
      </c>
      <c r="B19">
        <v>17078.6815068493</v>
      </c>
      <c r="E19" t="s">
        <v>108</v>
      </c>
      <c r="F19">
        <v>1</v>
      </c>
      <c r="G19">
        <v>266.652397260274</v>
      </c>
      <c r="I19" t="s">
        <v>838</v>
      </c>
      <c r="J19">
        <v>1</v>
      </c>
      <c r="K19">
        <v>2434.28938356164</v>
      </c>
      <c r="M19" t="s">
        <v>224</v>
      </c>
      <c r="N19" t="s">
        <v>165</v>
      </c>
      <c r="O19">
        <f>SUMIFS('Raw data'!$J:$J,'Raw data'!$F:$F,'Data pivot'!M19)</f>
        <v>6591.95205479452</v>
      </c>
    </row>
    <row r="20" spans="1:15">
      <c r="A20" t="s">
        <v>928</v>
      </c>
      <c r="B20">
        <v>297.559931506849</v>
      </c>
      <c r="E20" t="s">
        <v>111</v>
      </c>
      <c r="F20">
        <v>1</v>
      </c>
      <c r="G20">
        <v>112.071917808219</v>
      </c>
      <c r="I20" t="s">
        <v>823</v>
      </c>
      <c r="J20">
        <v>1</v>
      </c>
      <c r="K20">
        <v>2434.28938356164</v>
      </c>
      <c r="M20" t="s">
        <v>241</v>
      </c>
      <c r="N20" t="s">
        <v>239</v>
      </c>
      <c r="O20">
        <f>SUMIFS('Raw data'!$J:$J,'Raw data'!$F:$F,'Data pivot'!M20)</f>
        <v>2264.34075342466</v>
      </c>
    </row>
    <row r="21" spans="1:15">
      <c r="A21" t="s">
        <v>1007</v>
      </c>
      <c r="B21">
        <v>1159.20376712329</v>
      </c>
      <c r="E21" t="s">
        <v>114</v>
      </c>
      <c r="F21">
        <v>1</v>
      </c>
      <c r="G21">
        <v>1738.78424657534</v>
      </c>
      <c r="I21" t="s">
        <v>149</v>
      </c>
      <c r="J21">
        <v>1</v>
      </c>
      <c r="K21">
        <v>2434.28938356164</v>
      </c>
      <c r="M21" t="s">
        <v>248</v>
      </c>
      <c r="N21" t="s">
        <v>246</v>
      </c>
      <c r="O21">
        <f>SUMIFS('Raw data'!$J:$J,'Raw data'!$F:$F,'Data pivot'!M21)</f>
        <v>7959.80308219178</v>
      </c>
    </row>
    <row r="22" spans="1:15">
      <c r="A22" t="s">
        <v>223</v>
      </c>
      <c r="B22">
        <v>6591.95205479452</v>
      </c>
      <c r="E22" t="s">
        <v>117</v>
      </c>
      <c r="F22">
        <v>1</v>
      </c>
      <c r="G22">
        <v>2086.55821917808</v>
      </c>
      <c r="I22" t="s">
        <v>930</v>
      </c>
      <c r="J22">
        <v>1</v>
      </c>
      <c r="K22">
        <v>2434.28938356164</v>
      </c>
      <c r="M22" t="s">
        <v>256</v>
      </c>
      <c r="N22" t="s">
        <v>254</v>
      </c>
      <c r="O22">
        <f>SUMIFS('Raw data'!$J:$J,'Raw data'!$F:$F,'Data pivot'!M22)</f>
        <v>633.732876712329</v>
      </c>
    </row>
    <row r="23" spans="1:15">
      <c r="A23" t="s">
        <v>234</v>
      </c>
      <c r="B23">
        <v>2782.06335616438</v>
      </c>
      <c r="E23" t="s">
        <v>120</v>
      </c>
      <c r="F23">
        <v>1</v>
      </c>
      <c r="G23">
        <v>2704.83732876712</v>
      </c>
      <c r="I23" t="s">
        <v>879</v>
      </c>
      <c r="J23">
        <v>1</v>
      </c>
      <c r="K23">
        <v>2434.28938356164</v>
      </c>
      <c r="M23" t="s">
        <v>266</v>
      </c>
      <c r="N23" t="s">
        <v>264</v>
      </c>
      <c r="O23">
        <f>SUMIFS('Raw data'!$J:$J,'Raw data'!$F:$F,'Data pivot'!M23)</f>
        <v>1955.22260273973</v>
      </c>
    </row>
    <row r="24" spans="1:15">
      <c r="A24" t="s">
        <v>607</v>
      </c>
      <c r="B24">
        <v>7766.6095890411</v>
      </c>
      <c r="E24" t="s">
        <v>124</v>
      </c>
      <c r="F24">
        <v>1</v>
      </c>
      <c r="G24">
        <v>231.849315068493</v>
      </c>
      <c r="I24" t="s">
        <v>1090</v>
      </c>
      <c r="J24">
        <v>1</v>
      </c>
      <c r="K24">
        <v>2434.28938356164</v>
      </c>
      <c r="M24" t="s">
        <v>273</v>
      </c>
      <c r="N24" t="s">
        <v>271</v>
      </c>
      <c r="O24">
        <f>SUMIFS('Raw data'!$J:$J,'Raw data'!$F:$F,'Data pivot'!M24)</f>
        <v>2032.44863013699</v>
      </c>
    </row>
    <row r="25" spans="1:15">
      <c r="A25" t="s">
        <v>1098</v>
      </c>
      <c r="B25">
        <v>332.320205479452</v>
      </c>
      <c r="E25" t="s">
        <v>127</v>
      </c>
      <c r="F25">
        <v>1</v>
      </c>
      <c r="G25">
        <v>7727.99657534247</v>
      </c>
      <c r="I25" t="s">
        <v>851</v>
      </c>
      <c r="J25">
        <v>1</v>
      </c>
      <c r="K25">
        <v>5177.69691780822</v>
      </c>
      <c r="M25" t="s">
        <v>283</v>
      </c>
      <c r="N25" t="s">
        <v>281</v>
      </c>
      <c r="O25">
        <f>SUMIFS('Raw data'!$J:$J,'Raw data'!$F:$F,'Data pivot'!M25)</f>
        <v>1800.64212328767</v>
      </c>
    </row>
    <row r="26" spans="1:15">
      <c r="A26" t="s">
        <v>747</v>
      </c>
      <c r="B26">
        <v>21638.0993150685</v>
      </c>
      <c r="E26" t="s">
        <v>133</v>
      </c>
      <c r="F26">
        <v>1</v>
      </c>
      <c r="G26">
        <v>266.652397260274</v>
      </c>
      <c r="I26" t="s">
        <v>1026</v>
      </c>
      <c r="J26">
        <v>1</v>
      </c>
      <c r="K26">
        <v>2550.21404109589</v>
      </c>
      <c r="M26" t="s">
        <v>316</v>
      </c>
      <c r="N26" t="s">
        <v>274</v>
      </c>
      <c r="O26">
        <f>SUMIFS('Raw data'!$J:$J,'Raw data'!$F:$F,'Data pivot'!M26)</f>
        <v>7086.5154109589</v>
      </c>
    </row>
    <row r="27" spans="1:15">
      <c r="A27" t="s">
        <v>701</v>
      </c>
      <c r="B27">
        <v>4907.2345890411</v>
      </c>
      <c r="E27" t="s">
        <v>136</v>
      </c>
      <c r="F27">
        <v>1</v>
      </c>
      <c r="G27">
        <v>494.606164383562</v>
      </c>
      <c r="I27" t="s">
        <v>125</v>
      </c>
      <c r="J27">
        <v>1</v>
      </c>
      <c r="K27">
        <v>3284.375</v>
      </c>
      <c r="M27" t="s">
        <v>320</v>
      </c>
      <c r="N27" t="s">
        <v>318</v>
      </c>
      <c r="O27">
        <f>SUMIFS('Raw data'!$J:$J,'Raw data'!$F:$F,'Data pivot'!M27)</f>
        <v>3338.4845890411</v>
      </c>
    </row>
    <row r="28" spans="1:15">
      <c r="A28" t="s">
        <v>624</v>
      </c>
      <c r="B28">
        <v>2357.06335616438</v>
      </c>
      <c r="E28" t="s">
        <v>139</v>
      </c>
      <c r="F28">
        <v>1</v>
      </c>
      <c r="G28">
        <v>757.405821917808</v>
      </c>
      <c r="I28" t="s">
        <v>609</v>
      </c>
      <c r="J28">
        <v>1</v>
      </c>
      <c r="K28">
        <v>4288.99828767123</v>
      </c>
      <c r="M28" t="s">
        <v>323</v>
      </c>
      <c r="N28" t="s">
        <v>321</v>
      </c>
      <c r="O28">
        <f>SUMIFS('Raw data'!$J:$J,'Raw data'!$F:$F,'Data pivot'!M28)</f>
        <v>4791.35273972603</v>
      </c>
    </row>
    <row r="29" spans="1:15">
      <c r="A29" t="s">
        <v>760</v>
      </c>
      <c r="B29">
        <v>7650.64212328767</v>
      </c>
      <c r="E29" t="s">
        <v>142</v>
      </c>
      <c r="F29">
        <v>1</v>
      </c>
      <c r="G29">
        <v>231.849315068493</v>
      </c>
      <c r="I29" t="s">
        <v>204</v>
      </c>
      <c r="J29">
        <v>1</v>
      </c>
      <c r="K29">
        <v>5409.54623287671</v>
      </c>
      <c r="M29" t="s">
        <v>338</v>
      </c>
      <c r="N29" t="s">
        <v>336</v>
      </c>
      <c r="O29">
        <f>SUMIFS('Raw data'!$J:$J,'Raw data'!$F:$F,'Data pivot'!M29)</f>
        <v>5564.12671232877</v>
      </c>
    </row>
    <row r="30" spans="1:15">
      <c r="A30" t="s">
        <v>326</v>
      </c>
      <c r="B30">
        <v>266.652397260274</v>
      </c>
      <c r="E30" t="s">
        <v>145</v>
      </c>
      <c r="F30">
        <v>1</v>
      </c>
      <c r="G30">
        <v>1584.24657534247</v>
      </c>
      <c r="I30" t="s">
        <v>596</v>
      </c>
      <c r="J30">
        <v>1</v>
      </c>
      <c r="K30">
        <v>3091.18150684932</v>
      </c>
      <c r="M30" t="s">
        <v>344</v>
      </c>
      <c r="N30" t="s">
        <v>289</v>
      </c>
      <c r="O30">
        <f>SUMIFS('Raw data'!$J:$J,'Raw data'!$F:$F,'Data pivot'!M30)</f>
        <v>498.501712328767</v>
      </c>
    </row>
    <row r="31" spans="1:15">
      <c r="A31" t="s">
        <v>687</v>
      </c>
      <c r="B31">
        <v>297.559931506849</v>
      </c>
      <c r="E31" t="s">
        <v>148</v>
      </c>
      <c r="F31">
        <v>1</v>
      </c>
      <c r="G31">
        <v>1545.59075342466</v>
      </c>
      <c r="I31" t="s">
        <v>918</v>
      </c>
      <c r="J31">
        <v>4</v>
      </c>
      <c r="K31">
        <v>11746.404109589</v>
      </c>
      <c r="M31" t="s">
        <v>354</v>
      </c>
      <c r="N31" t="s">
        <v>352</v>
      </c>
      <c r="O31">
        <f>SUMIFS('Raw data'!$J:$J,'Raw data'!$F:$F,'Data pivot'!M31)</f>
        <v>12016.8664383562</v>
      </c>
    </row>
    <row r="32" spans="1:15">
      <c r="A32" t="s">
        <v>604</v>
      </c>
      <c r="B32">
        <v>297.559931506849</v>
      </c>
      <c r="E32" t="s">
        <v>151</v>
      </c>
      <c r="F32">
        <v>1</v>
      </c>
      <c r="G32">
        <v>2434.28938356164</v>
      </c>
      <c r="I32" t="s">
        <v>634</v>
      </c>
      <c r="J32">
        <v>1</v>
      </c>
      <c r="K32">
        <v>3323.03082191781</v>
      </c>
      <c r="M32" t="s">
        <v>360</v>
      </c>
      <c r="N32" t="s">
        <v>359</v>
      </c>
      <c r="O32">
        <f>SUMIFS('Raw data'!$J:$J,'Raw data'!$F:$F,'Data pivot'!M32)</f>
        <v>4343.10787671233</v>
      </c>
    </row>
    <row r="33" spans="1:15">
      <c r="A33" t="s">
        <v>261</v>
      </c>
      <c r="B33">
        <v>2357.02054794521</v>
      </c>
      <c r="E33" t="s">
        <v>154</v>
      </c>
      <c r="F33">
        <v>1</v>
      </c>
      <c r="G33">
        <v>1120.54794520548</v>
      </c>
      <c r="I33" t="s">
        <v>988</v>
      </c>
      <c r="J33">
        <v>1</v>
      </c>
      <c r="K33">
        <v>3323.03082191781</v>
      </c>
      <c r="M33" t="s">
        <v>371</v>
      </c>
      <c r="N33" t="s">
        <v>369</v>
      </c>
      <c r="O33">
        <f>SUMIFS('Raw data'!$J:$J,'Raw data'!$F:$F,'Data pivot'!M33)</f>
        <v>7418.83561643836</v>
      </c>
    </row>
    <row r="34" spans="1:15">
      <c r="A34" t="s">
        <v>952</v>
      </c>
      <c r="B34">
        <v>285.958904109589</v>
      </c>
      <c r="E34" t="s">
        <v>157</v>
      </c>
      <c r="F34">
        <v>1</v>
      </c>
      <c r="G34">
        <v>6800.55650684932</v>
      </c>
      <c r="I34" t="s">
        <v>640</v>
      </c>
      <c r="J34">
        <v>2</v>
      </c>
      <c r="K34">
        <v>9814.46917808219</v>
      </c>
      <c r="M34" t="s">
        <v>380</v>
      </c>
      <c r="N34" t="s">
        <v>278</v>
      </c>
      <c r="O34">
        <f>SUMIFS('Raw data'!$J:$J,'Raw data'!$F:$F,'Data pivot'!M34)</f>
        <v>730.35102739726</v>
      </c>
    </row>
    <row r="35" spans="1:15">
      <c r="A35" t="s">
        <v>438</v>
      </c>
      <c r="B35">
        <v>4837.71404109589</v>
      </c>
      <c r="E35" t="s">
        <v>161</v>
      </c>
      <c r="F35">
        <v>1</v>
      </c>
      <c r="G35">
        <v>231.849315068493</v>
      </c>
      <c r="I35" t="s">
        <v>892</v>
      </c>
      <c r="J35">
        <v>2</v>
      </c>
      <c r="K35">
        <v>9814.46917808219</v>
      </c>
      <c r="M35" t="s">
        <v>384</v>
      </c>
      <c r="N35" t="s">
        <v>383</v>
      </c>
      <c r="O35">
        <f>SUMIFS('Raw data'!$J:$J,'Raw data'!$F:$F,'Data pivot'!M35)</f>
        <v>4122.8595890411</v>
      </c>
    </row>
    <row r="36" spans="1:15">
      <c r="A36" t="s">
        <v>828</v>
      </c>
      <c r="B36">
        <v>20478.9383561644</v>
      </c>
      <c r="E36" t="s">
        <v>164</v>
      </c>
      <c r="F36">
        <v>1</v>
      </c>
      <c r="G36">
        <v>6823.80136986301</v>
      </c>
      <c r="I36" t="s">
        <v>959</v>
      </c>
      <c r="J36">
        <v>1</v>
      </c>
      <c r="K36">
        <v>3438.91267123288</v>
      </c>
      <c r="M36" t="s">
        <v>388</v>
      </c>
      <c r="N36" t="s">
        <v>106</v>
      </c>
      <c r="O36">
        <f>SUMIFS('Raw data'!$J:$J,'Raw data'!$F:$F,'Data pivot'!M36)</f>
        <v>633.732876712329</v>
      </c>
    </row>
    <row r="37" spans="1:15">
      <c r="A37" t="s">
        <v>163</v>
      </c>
      <c r="B37">
        <v>14721.7465753425</v>
      </c>
      <c r="E37" t="s">
        <v>168</v>
      </c>
      <c r="F37">
        <v>1</v>
      </c>
      <c r="G37">
        <v>2975.29965753425</v>
      </c>
      <c r="I37" t="s">
        <v>352</v>
      </c>
      <c r="J37">
        <v>1</v>
      </c>
      <c r="K37">
        <v>3438.91267123288</v>
      </c>
      <c r="M37" t="s">
        <v>394</v>
      </c>
      <c r="N37" t="s">
        <v>392</v>
      </c>
      <c r="O37">
        <f>SUMIFS('Raw data'!$J:$J,'Raw data'!$F:$F,'Data pivot'!M37)</f>
        <v>25811.1729452055</v>
      </c>
    </row>
    <row r="38" spans="1:15">
      <c r="A38" t="s">
        <v>750</v>
      </c>
      <c r="B38">
        <v>3168.45034246575</v>
      </c>
      <c r="E38" t="s">
        <v>172</v>
      </c>
      <c r="F38">
        <v>1</v>
      </c>
      <c r="G38">
        <v>3709.41780821918</v>
      </c>
      <c r="I38" t="s">
        <v>616</v>
      </c>
      <c r="J38">
        <v>1</v>
      </c>
      <c r="K38">
        <v>2434.28938356164</v>
      </c>
      <c r="M38" t="s">
        <v>400</v>
      </c>
      <c r="N38" t="s">
        <v>340</v>
      </c>
      <c r="O38">
        <f>SUMIFS('Raw data'!$J:$J,'Raw data'!$F:$F,'Data pivot'!M38)</f>
        <v>533.304794520548</v>
      </c>
    </row>
    <row r="39" spans="1:15">
      <c r="A39" t="s">
        <v>313</v>
      </c>
      <c r="B39">
        <v>266.652397260274</v>
      </c>
      <c r="E39" t="s">
        <v>176</v>
      </c>
      <c r="F39">
        <v>1</v>
      </c>
      <c r="G39">
        <v>529.366438356164</v>
      </c>
      <c r="I39" t="s">
        <v>432</v>
      </c>
      <c r="J39">
        <v>2</v>
      </c>
      <c r="K39">
        <v>4868.57876712329</v>
      </c>
      <c r="M39" t="s">
        <v>411</v>
      </c>
      <c r="N39" t="s">
        <v>409</v>
      </c>
      <c r="O39">
        <f>SUMIFS('Raw data'!$J:$J,'Raw data'!$F:$F,'Data pivot'!M39)</f>
        <v>4482.19178082192</v>
      </c>
    </row>
    <row r="40" spans="1:15">
      <c r="A40" t="s">
        <v>156</v>
      </c>
      <c r="B40">
        <v>13562.5</v>
      </c>
      <c r="E40" t="s">
        <v>179</v>
      </c>
      <c r="F40">
        <v>1</v>
      </c>
      <c r="G40">
        <v>583.47602739726</v>
      </c>
      <c r="I40" t="s">
        <v>740</v>
      </c>
      <c r="J40">
        <v>2</v>
      </c>
      <c r="K40">
        <v>4868.57876712329</v>
      </c>
      <c r="M40" t="s">
        <v>415</v>
      </c>
      <c r="N40" t="s">
        <v>413</v>
      </c>
      <c r="O40">
        <f>SUMIFS('Raw data'!$J:$J,'Raw data'!$F:$F,'Data pivot'!M40)</f>
        <v>1298.37328767123</v>
      </c>
    </row>
    <row r="41" spans="1:15">
      <c r="A41" t="s">
        <v>181</v>
      </c>
      <c r="B41">
        <v>4868.62157534247</v>
      </c>
      <c r="E41" t="s">
        <v>182</v>
      </c>
      <c r="F41">
        <v>1</v>
      </c>
      <c r="G41">
        <v>2511.60102739726</v>
      </c>
      <c r="I41" t="s">
        <v>91</v>
      </c>
      <c r="J41">
        <v>1</v>
      </c>
      <c r="K41">
        <v>2434.28938356164</v>
      </c>
      <c r="M41" t="s">
        <v>424</v>
      </c>
      <c r="N41" t="s">
        <v>422</v>
      </c>
      <c r="O41">
        <f>SUMIFS('Raw data'!$J:$J,'Raw data'!$F:$F,'Data pivot'!M41)</f>
        <v>5564.12671232877</v>
      </c>
    </row>
    <row r="42" spans="1:15">
      <c r="A42" t="s">
        <v>676</v>
      </c>
      <c r="B42">
        <v>31375.2568493151</v>
      </c>
      <c r="E42" t="s">
        <v>184</v>
      </c>
      <c r="F42">
        <v>1</v>
      </c>
      <c r="G42">
        <v>2086.55821917808</v>
      </c>
      <c r="I42" t="s">
        <v>1064</v>
      </c>
      <c r="J42">
        <v>1</v>
      </c>
      <c r="K42">
        <v>2434.28938356164</v>
      </c>
      <c r="M42" t="s">
        <v>439</v>
      </c>
      <c r="N42" t="s">
        <v>437</v>
      </c>
      <c r="O42">
        <f>SUMIFS('Raw data'!$J:$J,'Raw data'!$F:$F,'Data pivot'!M42)</f>
        <v>4837.71404109589</v>
      </c>
    </row>
    <row r="43" spans="1:15">
      <c r="A43" t="s">
        <v>868</v>
      </c>
      <c r="B43">
        <v>629.837328767123</v>
      </c>
      <c r="E43" t="s">
        <v>187</v>
      </c>
      <c r="F43">
        <v>1</v>
      </c>
      <c r="G43">
        <v>347.77397260274</v>
      </c>
      <c r="I43" t="s">
        <v>643</v>
      </c>
      <c r="J43">
        <v>2</v>
      </c>
      <c r="K43">
        <v>4868.57876712329</v>
      </c>
      <c r="M43" t="s">
        <v>446</v>
      </c>
      <c r="N43" t="s">
        <v>445</v>
      </c>
      <c r="O43">
        <f>SUMIFS('Raw data'!$J:$J,'Raw data'!$F:$F,'Data pivot'!M43)</f>
        <v>5023.20205479452</v>
      </c>
    </row>
    <row r="44" spans="1:15">
      <c r="A44" t="s">
        <v>752</v>
      </c>
      <c r="B44">
        <v>297.559931506849</v>
      </c>
      <c r="E44" t="s">
        <v>190</v>
      </c>
      <c r="F44">
        <v>1</v>
      </c>
      <c r="G44">
        <v>1043.27910958904</v>
      </c>
      <c r="I44" t="s">
        <v>539</v>
      </c>
      <c r="J44">
        <v>1</v>
      </c>
      <c r="K44">
        <v>1622.8595890411</v>
      </c>
      <c r="M44" t="s">
        <v>473</v>
      </c>
      <c r="N44" t="s">
        <v>471</v>
      </c>
      <c r="O44">
        <f>SUMIFS('Raw data'!$J:$J,'Raw data'!$F:$F,'Data pivot'!M44)</f>
        <v>6004.62328767123</v>
      </c>
    </row>
    <row r="45" spans="1:15">
      <c r="A45" t="s">
        <v>1124</v>
      </c>
      <c r="B45">
        <v>175422.988013699</v>
      </c>
      <c r="E45" t="s">
        <v>192</v>
      </c>
      <c r="F45">
        <v>1</v>
      </c>
      <c r="G45">
        <v>1043.27910958904</v>
      </c>
      <c r="I45" t="s">
        <v>991</v>
      </c>
      <c r="J45">
        <v>1</v>
      </c>
      <c r="K45">
        <v>1622.8595890411</v>
      </c>
      <c r="M45" t="s">
        <v>489</v>
      </c>
      <c r="N45" t="s">
        <v>487</v>
      </c>
      <c r="O45">
        <f>SUMIFS('Raw data'!$J:$J,'Raw data'!$F:$F,'Data pivot'!M45)</f>
        <v>583.518835616438</v>
      </c>
    </row>
    <row r="46" spans="1:15">
      <c r="A46" t="s">
        <v>123</v>
      </c>
      <c r="B46">
        <v>231.849315068493</v>
      </c>
      <c r="E46" t="s">
        <v>194</v>
      </c>
      <c r="F46">
        <v>1</v>
      </c>
      <c r="G46">
        <v>490.753424657534</v>
      </c>
      <c r="I46" t="s">
        <v>118</v>
      </c>
      <c r="J46">
        <v>2</v>
      </c>
      <c r="K46">
        <v>3013.95547945205</v>
      </c>
      <c r="M46" t="s">
        <v>499</v>
      </c>
      <c r="N46" t="s">
        <v>497</v>
      </c>
      <c r="O46">
        <f>SUMIFS('Raw data'!$J:$J,'Raw data'!$F:$F,'Data pivot'!M46)</f>
        <v>2395.71917808219</v>
      </c>
    </row>
    <row r="47" spans="1:15">
      <c r="A47" t="s">
        <v>800</v>
      </c>
      <c r="B47">
        <v>3338.4845890411</v>
      </c>
      <c r="E47" t="s">
        <v>197</v>
      </c>
      <c r="F47">
        <v>1</v>
      </c>
      <c r="G47">
        <v>5911.90068493151</v>
      </c>
      <c r="I47" t="s">
        <v>656</v>
      </c>
      <c r="J47">
        <v>1</v>
      </c>
      <c r="K47">
        <v>6336.90068493151</v>
      </c>
      <c r="M47" t="s">
        <v>507</v>
      </c>
      <c r="N47" t="s">
        <v>505</v>
      </c>
      <c r="O47">
        <f>SUMIFS('Raw data'!$J:$J,'Raw data'!$F:$F,'Data pivot'!M47)</f>
        <v>6646.06164383562</v>
      </c>
    </row>
    <row r="48" spans="1:15">
      <c r="A48" t="s">
        <v>196</v>
      </c>
      <c r="B48">
        <v>5911.90068493151</v>
      </c>
      <c r="E48" t="s">
        <v>203</v>
      </c>
      <c r="F48">
        <v>1</v>
      </c>
      <c r="G48">
        <v>490.753424657534</v>
      </c>
      <c r="I48" t="s">
        <v>63</v>
      </c>
      <c r="J48">
        <v>1</v>
      </c>
      <c r="K48">
        <v>1661.5154109589</v>
      </c>
      <c r="M48" t="s">
        <v>528</v>
      </c>
      <c r="N48" t="s">
        <v>526</v>
      </c>
      <c r="O48">
        <f>SUMIFS('Raw data'!$J:$J,'Raw data'!$F:$F,'Data pivot'!M48)</f>
        <v>3709.41780821918</v>
      </c>
    </row>
    <row r="49" spans="1:15">
      <c r="A49" t="s">
        <v>791</v>
      </c>
      <c r="B49">
        <v>2434.28938356164</v>
      </c>
      <c r="E49" t="s">
        <v>206</v>
      </c>
      <c r="F49">
        <v>1</v>
      </c>
      <c r="G49">
        <v>6761.94349315068</v>
      </c>
      <c r="I49" t="s">
        <v>827</v>
      </c>
      <c r="J49">
        <v>1</v>
      </c>
      <c r="K49">
        <v>7032.40582191781</v>
      </c>
      <c r="M49" t="s">
        <v>541</v>
      </c>
      <c r="N49" t="s">
        <v>539</v>
      </c>
      <c r="O49">
        <f>SUMIFS('Raw data'!$J:$J,'Raw data'!$F:$F,'Data pivot'!M49)</f>
        <v>3477.56849315068</v>
      </c>
    </row>
    <row r="50" spans="1:15">
      <c r="A50" t="s">
        <v>531</v>
      </c>
      <c r="B50">
        <v>6143.70719178082</v>
      </c>
      <c r="E50" t="s">
        <v>210</v>
      </c>
      <c r="F50">
        <v>1</v>
      </c>
      <c r="G50">
        <v>850.085616438356</v>
      </c>
      <c r="I50" t="s">
        <v>383</v>
      </c>
      <c r="J50">
        <v>1</v>
      </c>
      <c r="K50">
        <v>645.291095890411</v>
      </c>
      <c r="M50" t="s">
        <v>550</v>
      </c>
      <c r="N50" t="s">
        <v>548</v>
      </c>
      <c r="O50">
        <f>SUMIFS('Raw data'!$J:$J,'Raw data'!$F:$F,'Data pivot'!M50)</f>
        <v>1081.97773972603</v>
      </c>
    </row>
    <row r="51" spans="1:15">
      <c r="A51" t="s">
        <v>657</v>
      </c>
      <c r="B51">
        <v>6738.78424657534</v>
      </c>
      <c r="E51" t="s">
        <v>213</v>
      </c>
      <c r="F51">
        <v>1</v>
      </c>
      <c r="G51">
        <v>6530.09417808219</v>
      </c>
      <c r="I51" t="s">
        <v>442</v>
      </c>
      <c r="J51">
        <v>1</v>
      </c>
      <c r="K51">
        <v>738.013698630137</v>
      </c>
      <c r="M51" t="s">
        <v>560</v>
      </c>
      <c r="N51" t="s">
        <v>558</v>
      </c>
      <c r="O51">
        <f>SUMIFS('Raw data'!$J:$J,'Raw data'!$F:$F,'Data pivot'!M51)</f>
        <v>19397.0462328767</v>
      </c>
    </row>
    <row r="52" spans="1:15">
      <c r="A52" t="s">
        <v>452</v>
      </c>
      <c r="B52">
        <v>6955.13698630137</v>
      </c>
      <c r="E52" t="s">
        <v>218</v>
      </c>
      <c r="F52">
        <v>1</v>
      </c>
      <c r="G52">
        <v>4057.14897260274</v>
      </c>
      <c r="I52" t="s">
        <v>956</v>
      </c>
      <c r="J52">
        <v>1</v>
      </c>
      <c r="K52">
        <v>2086.55821917808</v>
      </c>
      <c r="M52" t="s">
        <v>569</v>
      </c>
      <c r="N52" t="s">
        <v>567</v>
      </c>
      <c r="O52">
        <f>SUMIFS('Raw data'!$J:$J,'Raw data'!$F:$F,'Data pivot'!M52)</f>
        <v>3941.26712328767</v>
      </c>
    </row>
    <row r="53" spans="1:15">
      <c r="A53" t="s">
        <v>491</v>
      </c>
      <c r="B53">
        <v>2704.79452054795</v>
      </c>
      <c r="E53" t="s">
        <v>222</v>
      </c>
      <c r="F53">
        <v>1</v>
      </c>
      <c r="G53">
        <v>26429.3664383562</v>
      </c>
      <c r="I53" t="s">
        <v>973</v>
      </c>
      <c r="J53">
        <v>2</v>
      </c>
      <c r="K53">
        <v>4173.11643835616</v>
      </c>
      <c r="M53" t="s">
        <v>573</v>
      </c>
      <c r="N53" t="s">
        <v>571</v>
      </c>
      <c r="O53">
        <f>SUMIFS('Raw data'!$J:$J,'Raw data'!$F:$F,'Data pivot'!M53)</f>
        <v>3593.49315068493</v>
      </c>
    </row>
    <row r="54" spans="1:15">
      <c r="A54" t="s">
        <v>715</v>
      </c>
      <c r="B54">
        <v>5204.79452054795</v>
      </c>
      <c r="E54" t="s">
        <v>224</v>
      </c>
      <c r="F54">
        <v>1</v>
      </c>
      <c r="G54">
        <v>6591.95205479452</v>
      </c>
      <c r="I54" t="s">
        <v>567</v>
      </c>
      <c r="J54">
        <v>2</v>
      </c>
      <c r="K54">
        <v>4173.11643835616</v>
      </c>
      <c r="M54" t="s">
        <v>587</v>
      </c>
      <c r="N54" t="s">
        <v>564</v>
      </c>
      <c r="O54">
        <f>SUMIFS('Raw data'!$J:$J,'Raw data'!$F:$F,'Data pivot'!M54)</f>
        <v>761.258561643836</v>
      </c>
    </row>
    <row r="55" spans="1:15">
      <c r="A55" t="s">
        <v>466</v>
      </c>
      <c r="B55">
        <v>363.227739726027</v>
      </c>
      <c r="E55" t="s">
        <v>228</v>
      </c>
      <c r="F55">
        <v>1</v>
      </c>
      <c r="G55">
        <v>2086.55821917808</v>
      </c>
      <c r="I55" t="s">
        <v>115</v>
      </c>
      <c r="J55">
        <v>1</v>
      </c>
      <c r="K55">
        <v>2086.55821917808</v>
      </c>
      <c r="M55" t="s">
        <v>597</v>
      </c>
      <c r="N55" t="s">
        <v>596</v>
      </c>
      <c r="O55">
        <f>SUMIFS('Raw data'!$J:$J,'Raw data'!$F:$F,'Data pivot'!M55)</f>
        <v>5525.47089041096</v>
      </c>
    </row>
    <row r="56" spans="1:15">
      <c r="A56" t="s">
        <v>420</v>
      </c>
      <c r="B56">
        <v>1352.39726027397</v>
      </c>
      <c r="E56" t="s">
        <v>230</v>
      </c>
      <c r="F56">
        <v>1</v>
      </c>
      <c r="G56">
        <v>12210.0599315068</v>
      </c>
      <c r="I56" t="s">
        <v>226</v>
      </c>
      <c r="J56">
        <v>2</v>
      </c>
      <c r="K56">
        <v>4173.11643835616</v>
      </c>
      <c r="M56" t="s">
        <v>600</v>
      </c>
      <c r="N56" t="s">
        <v>598</v>
      </c>
      <c r="O56">
        <f>SUMIFS('Raw data'!$J:$J,'Raw data'!$F:$F,'Data pivot'!M56)</f>
        <v>7998.41609589041</v>
      </c>
    </row>
    <row r="57" spans="1:15">
      <c r="A57" t="s">
        <v>672</v>
      </c>
      <c r="B57">
        <v>6414.21232876712</v>
      </c>
      <c r="E57" t="s">
        <v>232</v>
      </c>
      <c r="F57">
        <v>1</v>
      </c>
      <c r="G57">
        <v>2782.06335616438</v>
      </c>
      <c r="I57" t="s">
        <v>195</v>
      </c>
      <c r="J57">
        <v>1</v>
      </c>
      <c r="K57">
        <v>1468.32191780822</v>
      </c>
      <c r="M57" t="s">
        <v>603</v>
      </c>
      <c r="N57" t="s">
        <v>564</v>
      </c>
      <c r="O57">
        <f>SUMIFS('Raw data'!$J:$J,'Raw data'!$F:$F,'Data pivot'!M57)</f>
        <v>792.166095890411</v>
      </c>
    </row>
    <row r="58" spans="1:15">
      <c r="A58" t="s">
        <v>638</v>
      </c>
      <c r="B58">
        <v>297.559931506849</v>
      </c>
      <c r="E58" t="s">
        <v>235</v>
      </c>
      <c r="F58">
        <v>1</v>
      </c>
      <c r="G58">
        <v>2782.06335616438</v>
      </c>
      <c r="I58" t="s">
        <v>629</v>
      </c>
      <c r="J58">
        <v>1</v>
      </c>
      <c r="K58">
        <v>4675.3852739726</v>
      </c>
      <c r="M58" t="s">
        <v>608</v>
      </c>
      <c r="N58" t="s">
        <v>606</v>
      </c>
      <c r="O58">
        <f>SUMIFS('Raw data'!$J:$J,'Raw data'!$F:$F,'Data pivot'!M58)</f>
        <v>6491.48116438356</v>
      </c>
    </row>
    <row r="59" spans="1:15">
      <c r="A59" t="s">
        <v>68</v>
      </c>
      <c r="B59">
        <v>2009.28938356164</v>
      </c>
      <c r="E59" t="s">
        <v>238</v>
      </c>
      <c r="F59">
        <v>1</v>
      </c>
      <c r="G59">
        <v>14064.7688356164</v>
      </c>
      <c r="I59" t="s">
        <v>211</v>
      </c>
      <c r="J59">
        <v>1</v>
      </c>
      <c r="K59">
        <v>4675.3852739726</v>
      </c>
      <c r="M59" t="s">
        <v>615</v>
      </c>
      <c r="N59" t="s">
        <v>66</v>
      </c>
      <c r="O59">
        <f>SUMIFS('Raw data'!$J:$J,'Raw data'!$F:$F,'Data pivot'!M59)</f>
        <v>595.119863013699</v>
      </c>
    </row>
    <row r="60" spans="1:15">
      <c r="A60" t="s">
        <v>706</v>
      </c>
      <c r="B60">
        <v>1120.54794520548</v>
      </c>
      <c r="E60" t="s">
        <v>241</v>
      </c>
      <c r="F60">
        <v>1</v>
      </c>
      <c r="G60">
        <v>2264.34075342466</v>
      </c>
      <c r="I60" t="s">
        <v>198</v>
      </c>
      <c r="J60">
        <v>1</v>
      </c>
      <c r="K60">
        <v>2357.02054794521</v>
      </c>
      <c r="M60" t="s">
        <v>618</v>
      </c>
      <c r="N60" t="s">
        <v>616</v>
      </c>
      <c r="O60">
        <f>SUMIFS('Raw data'!$J:$J,'Raw data'!$F:$F,'Data pivot'!M60)</f>
        <v>7611.98630136986</v>
      </c>
    </row>
    <row r="61" spans="1:15">
      <c r="A61" t="s">
        <v>982</v>
      </c>
      <c r="B61">
        <v>2086.55821917808</v>
      </c>
      <c r="E61" t="s">
        <v>245</v>
      </c>
      <c r="F61">
        <v>1</v>
      </c>
      <c r="G61">
        <v>1120.54794520548</v>
      </c>
      <c r="I61" t="s">
        <v>102</v>
      </c>
      <c r="J61">
        <v>1</v>
      </c>
      <c r="K61">
        <v>3709.41780821918</v>
      </c>
      <c r="M61" t="s">
        <v>621</v>
      </c>
      <c r="N61" t="s">
        <v>620</v>
      </c>
      <c r="O61">
        <f>SUMIFS('Raw data'!$J:$J,'Raw data'!$F:$F,'Data pivot'!M61)</f>
        <v>3554.8801369863</v>
      </c>
    </row>
    <row r="62" spans="1:15">
      <c r="A62" t="s">
        <v>92</v>
      </c>
      <c r="B62">
        <v>3632.14897260274</v>
      </c>
      <c r="E62" t="s">
        <v>248</v>
      </c>
      <c r="F62">
        <v>1</v>
      </c>
      <c r="G62">
        <v>7959.80308219178</v>
      </c>
      <c r="I62" t="s">
        <v>1085</v>
      </c>
      <c r="J62">
        <v>1</v>
      </c>
      <c r="K62">
        <v>1352.39726027397</v>
      </c>
      <c r="M62" t="s">
        <v>625</v>
      </c>
      <c r="N62" t="s">
        <v>623</v>
      </c>
      <c r="O62">
        <f>SUMIFS('Raw data'!$J:$J,'Raw data'!$F:$F,'Data pivot'!M62)</f>
        <v>2357.06335616438</v>
      </c>
    </row>
    <row r="63" spans="1:15">
      <c r="A63" t="s">
        <v>893</v>
      </c>
      <c r="B63">
        <v>7341.52397260274</v>
      </c>
      <c r="E63" t="s">
        <v>253</v>
      </c>
      <c r="F63">
        <v>1</v>
      </c>
      <c r="G63">
        <v>285.958904109589</v>
      </c>
      <c r="I63" t="s">
        <v>310</v>
      </c>
      <c r="J63">
        <v>1</v>
      </c>
      <c r="K63">
        <v>2588.8698630137</v>
      </c>
      <c r="M63" t="s">
        <v>636</v>
      </c>
      <c r="N63" t="s">
        <v>634</v>
      </c>
      <c r="O63">
        <f>SUMIFS('Raw data'!$J:$J,'Raw data'!$F:$F,'Data pivot'!M63)</f>
        <v>5911.90068493151</v>
      </c>
    </row>
    <row r="64" spans="1:15">
      <c r="A64" t="s">
        <v>212</v>
      </c>
      <c r="B64">
        <v>14644.4349315068</v>
      </c>
      <c r="E64" t="s">
        <v>256</v>
      </c>
      <c r="F64">
        <v>1</v>
      </c>
      <c r="G64">
        <v>633.732876712329</v>
      </c>
      <c r="I64" t="s">
        <v>239</v>
      </c>
      <c r="J64">
        <v>1</v>
      </c>
      <c r="K64">
        <v>850.085616438356</v>
      </c>
      <c r="M64" t="s">
        <v>642</v>
      </c>
      <c r="N64" t="s">
        <v>640</v>
      </c>
      <c r="O64">
        <f>SUMIFS('Raw data'!$J:$J,'Raw data'!$F:$F,'Data pivot'!M64)</f>
        <v>7341.52397260274</v>
      </c>
    </row>
    <row r="65" spans="1:15">
      <c r="A65" t="s">
        <v>873</v>
      </c>
      <c r="B65">
        <v>2009.28938356164</v>
      </c>
      <c r="E65" t="s">
        <v>259</v>
      </c>
      <c r="F65">
        <v>1</v>
      </c>
      <c r="G65">
        <v>266.652397260274</v>
      </c>
      <c r="I65" t="s">
        <v>208</v>
      </c>
      <c r="J65">
        <v>1</v>
      </c>
      <c r="K65">
        <v>850.085616438356</v>
      </c>
      <c r="M65" t="s">
        <v>658</v>
      </c>
      <c r="N65" t="s">
        <v>656</v>
      </c>
      <c r="O65">
        <f>SUMIFS('Raw data'!$J:$J,'Raw data'!$F:$F,'Data pivot'!M65)</f>
        <v>6738.78424657534</v>
      </c>
    </row>
    <row r="66" spans="1:15">
      <c r="A66" t="s">
        <v>579</v>
      </c>
      <c r="B66">
        <v>285.958904109589</v>
      </c>
      <c r="E66" t="s">
        <v>262</v>
      </c>
      <c r="F66">
        <v>1</v>
      </c>
      <c r="G66">
        <v>2357.02054794521</v>
      </c>
      <c r="I66" t="s">
        <v>155</v>
      </c>
      <c r="J66">
        <v>2</v>
      </c>
      <c r="K66">
        <v>4714.04109589041</v>
      </c>
      <c r="M66" t="s">
        <v>673</v>
      </c>
      <c r="N66" t="s">
        <v>250</v>
      </c>
      <c r="O66">
        <f>SUMIFS('Raw data'!$J:$J,'Raw data'!$F:$F,'Data pivot'!M66)</f>
        <v>6414.21232876712</v>
      </c>
    </row>
    <row r="67" spans="1:15">
      <c r="A67" t="s">
        <v>329</v>
      </c>
      <c r="B67">
        <v>3153.03938356164</v>
      </c>
      <c r="E67" t="s">
        <v>266</v>
      </c>
      <c r="F67">
        <v>1</v>
      </c>
      <c r="G67">
        <v>1955.22260273973</v>
      </c>
      <c r="I67" t="s">
        <v>963</v>
      </c>
      <c r="J67">
        <v>1</v>
      </c>
      <c r="K67">
        <v>2588.8698630137</v>
      </c>
      <c r="M67" t="s">
        <v>677</v>
      </c>
      <c r="N67" t="s">
        <v>675</v>
      </c>
      <c r="O67">
        <f>SUMIFS('Raw data'!$J:$J,'Raw data'!$F:$F,'Data pivot'!M67)</f>
        <v>31375.2568493151</v>
      </c>
    </row>
    <row r="68" spans="1:15">
      <c r="A68" t="s">
        <v>635</v>
      </c>
      <c r="B68">
        <v>5911.90068493151</v>
      </c>
      <c r="E68" t="s">
        <v>270</v>
      </c>
      <c r="F68">
        <v>1</v>
      </c>
      <c r="G68">
        <v>3941.22431506849</v>
      </c>
      <c r="I68" t="s">
        <v>692</v>
      </c>
      <c r="J68">
        <v>2</v>
      </c>
      <c r="K68">
        <v>5177.7397260274</v>
      </c>
      <c r="M68" t="s">
        <v>699</v>
      </c>
      <c r="N68" t="s">
        <v>231</v>
      </c>
      <c r="O68">
        <f>SUMIFS('Raw data'!$J:$J,'Raw data'!$F:$F,'Data pivot'!M68)</f>
        <v>3748.07363013699</v>
      </c>
    </row>
    <row r="69" spans="1:15">
      <c r="A69" t="s">
        <v>858</v>
      </c>
      <c r="B69">
        <v>4443.57876712329</v>
      </c>
      <c r="E69" t="s">
        <v>273</v>
      </c>
      <c r="F69">
        <v>1</v>
      </c>
      <c r="G69">
        <v>2032.44863013699</v>
      </c>
      <c r="I69" t="s">
        <v>947</v>
      </c>
      <c r="J69">
        <v>1</v>
      </c>
      <c r="K69">
        <v>1970.63356164384</v>
      </c>
      <c r="M69" t="s">
        <v>716</v>
      </c>
      <c r="N69" t="s">
        <v>640</v>
      </c>
      <c r="O69">
        <f>SUMIFS('Raw data'!$J:$J,'Raw data'!$F:$F,'Data pivot'!M69)</f>
        <v>5204.79452054795</v>
      </c>
    </row>
    <row r="70" spans="1:15">
      <c r="A70" t="s">
        <v>1017</v>
      </c>
      <c r="B70">
        <v>2434.28938356164</v>
      </c>
      <c r="E70" t="s">
        <v>277</v>
      </c>
      <c r="F70">
        <v>1</v>
      </c>
      <c r="G70">
        <v>629.837328767123</v>
      </c>
      <c r="I70" t="s">
        <v>924</v>
      </c>
      <c r="J70">
        <v>1</v>
      </c>
      <c r="K70">
        <v>1970.63356164384</v>
      </c>
      <c r="M70" t="s">
        <v>729</v>
      </c>
      <c r="N70" t="s">
        <v>727</v>
      </c>
      <c r="O70">
        <f>SUMIFS('Raw data'!$J:$J,'Raw data'!$F:$F,'Data pivot'!M70)</f>
        <v>1058.77568493151</v>
      </c>
    </row>
    <row r="71" spans="1:15">
      <c r="A71" t="s">
        <v>506</v>
      </c>
      <c r="B71">
        <v>6646.06164383562</v>
      </c>
      <c r="E71" t="s">
        <v>280</v>
      </c>
      <c r="F71">
        <v>1</v>
      </c>
      <c r="G71">
        <v>231.849315068493</v>
      </c>
      <c r="I71" t="s">
        <v>396</v>
      </c>
      <c r="J71">
        <v>1</v>
      </c>
      <c r="K71">
        <v>1236.47260273973</v>
      </c>
      <c r="M71" t="s">
        <v>764</v>
      </c>
      <c r="N71" t="s">
        <v>762</v>
      </c>
      <c r="O71">
        <f>SUMIFS('Raw data'!$J:$J,'Raw data'!$F:$F,'Data pivot'!M71)</f>
        <v>11900.9845890411</v>
      </c>
    </row>
    <row r="72" spans="1:15">
      <c r="A72" t="s">
        <v>905</v>
      </c>
      <c r="B72">
        <v>17789.6832191781</v>
      </c>
      <c r="E72" t="s">
        <v>283</v>
      </c>
      <c r="F72">
        <v>1</v>
      </c>
      <c r="G72">
        <v>1800.64212328767</v>
      </c>
      <c r="I72" t="s">
        <v>571</v>
      </c>
      <c r="J72">
        <v>1</v>
      </c>
      <c r="K72">
        <v>1236.47260273973</v>
      </c>
      <c r="M72" t="s">
        <v>795</v>
      </c>
      <c r="N72" t="s">
        <v>793</v>
      </c>
      <c r="O72">
        <f>SUMIFS('Raw data'!$J:$J,'Raw data'!$F:$F,'Data pivot'!M72)</f>
        <v>4018.57876712329</v>
      </c>
    </row>
    <row r="73" spans="1:15">
      <c r="A73" t="s">
        <v>1010</v>
      </c>
      <c r="B73">
        <v>1970.63356164384</v>
      </c>
      <c r="E73" t="s">
        <v>286</v>
      </c>
      <c r="F73">
        <v>1</v>
      </c>
      <c r="G73">
        <v>966.010273972603</v>
      </c>
      <c r="I73" t="s">
        <v>284</v>
      </c>
      <c r="J73">
        <v>1</v>
      </c>
      <c r="K73">
        <v>966.010273972603</v>
      </c>
      <c r="M73" t="s">
        <v>801</v>
      </c>
      <c r="N73" t="s">
        <v>318</v>
      </c>
      <c r="O73">
        <f>SUMIFS('Raw data'!$J:$J,'Raw data'!$F:$F,'Data pivot'!M73)</f>
        <v>3338.4845890411</v>
      </c>
    </row>
    <row r="74" spans="1:15">
      <c r="A74" t="s">
        <v>430</v>
      </c>
      <c r="B74">
        <v>29365.9674657534</v>
      </c>
      <c r="E74" t="s">
        <v>288</v>
      </c>
      <c r="F74">
        <v>1</v>
      </c>
      <c r="G74">
        <v>494.606164383562</v>
      </c>
      <c r="I74" t="s">
        <v>705</v>
      </c>
      <c r="J74">
        <v>1</v>
      </c>
      <c r="K74">
        <v>1120.54794520548</v>
      </c>
      <c r="M74" t="s">
        <v>807</v>
      </c>
      <c r="N74" t="s">
        <v>805</v>
      </c>
      <c r="O74">
        <f>SUMIFS('Raw data'!$J:$J,'Raw data'!$F:$F,'Data pivot'!M74)</f>
        <v>4211.72945205479</v>
      </c>
    </row>
    <row r="75" spans="1:15">
      <c r="A75" t="s">
        <v>1041</v>
      </c>
      <c r="B75">
        <v>94241.5667808219</v>
      </c>
      <c r="E75" t="s">
        <v>291</v>
      </c>
      <c r="F75">
        <v>1</v>
      </c>
      <c r="G75">
        <v>266.652397260274</v>
      </c>
      <c r="I75" t="s">
        <v>373</v>
      </c>
      <c r="J75">
        <v>1</v>
      </c>
      <c r="K75">
        <v>1120.54794520548</v>
      </c>
      <c r="M75" t="s">
        <v>822</v>
      </c>
      <c r="N75" t="s">
        <v>659</v>
      </c>
      <c r="O75">
        <f>SUMIFS('Raw data'!$J:$J,'Raw data'!$F:$F,'Data pivot'!M75)</f>
        <v>6375.51369863014</v>
      </c>
    </row>
    <row r="76" spans="1:15">
      <c r="A76" t="s">
        <v>866</v>
      </c>
      <c r="B76">
        <v>297.559931506849</v>
      </c>
      <c r="E76" t="s">
        <v>293</v>
      </c>
      <c r="F76">
        <v>1</v>
      </c>
      <c r="G76">
        <v>266.652397260274</v>
      </c>
      <c r="I76" t="s">
        <v>1108</v>
      </c>
      <c r="J76">
        <v>1</v>
      </c>
      <c r="K76">
        <v>2588.8698630137</v>
      </c>
      <c r="M76" t="s">
        <v>829</v>
      </c>
      <c r="N76" t="s">
        <v>827</v>
      </c>
      <c r="O76">
        <f>SUMIFS('Raw data'!$J:$J,'Raw data'!$F:$F,'Data pivot'!M76)</f>
        <v>8268.87842465753</v>
      </c>
    </row>
    <row r="77" spans="1:15">
      <c r="A77" t="s">
        <v>472</v>
      </c>
      <c r="B77">
        <v>6004.62328767123</v>
      </c>
      <c r="E77" t="s">
        <v>296</v>
      </c>
      <c r="F77">
        <v>1</v>
      </c>
      <c r="G77">
        <v>2820.71917808219</v>
      </c>
      <c r="I77" t="s">
        <v>246</v>
      </c>
      <c r="J77">
        <v>1</v>
      </c>
      <c r="K77">
        <v>2588.8698630137</v>
      </c>
      <c r="M77" t="s">
        <v>849</v>
      </c>
      <c r="N77" t="s">
        <v>847</v>
      </c>
      <c r="O77">
        <f>SUMIFS('Raw data'!$J:$J,'Raw data'!$F:$F,'Data pivot'!M77)</f>
        <v>4520.84760273973</v>
      </c>
    </row>
    <row r="78" spans="1:15">
      <c r="A78" t="s">
        <v>660</v>
      </c>
      <c r="B78">
        <v>3941.22431506849</v>
      </c>
      <c r="E78" t="s">
        <v>298</v>
      </c>
      <c r="F78">
        <v>1</v>
      </c>
      <c r="G78">
        <v>266.652397260274</v>
      </c>
      <c r="I78" t="s">
        <v>249</v>
      </c>
      <c r="J78">
        <v>1</v>
      </c>
      <c r="K78">
        <v>1970.63356164384</v>
      </c>
      <c r="M78" t="s">
        <v>853</v>
      </c>
      <c r="N78" t="s">
        <v>851</v>
      </c>
      <c r="O78">
        <f>SUMIFS('Raw data'!$J:$J,'Raw data'!$F:$F,'Data pivot'!M78)</f>
        <v>7264.2551369863</v>
      </c>
    </row>
    <row r="79" spans="1:15">
      <c r="A79" t="s">
        <v>948</v>
      </c>
      <c r="B79">
        <v>3941.26712328767</v>
      </c>
      <c r="E79" t="s">
        <v>300</v>
      </c>
      <c r="F79">
        <v>1</v>
      </c>
      <c r="G79">
        <v>266.652397260274</v>
      </c>
      <c r="I79" t="s">
        <v>950</v>
      </c>
      <c r="J79">
        <v>1</v>
      </c>
      <c r="K79">
        <v>1970.63356164384</v>
      </c>
      <c r="M79" t="s">
        <v>859</v>
      </c>
      <c r="N79" t="s">
        <v>567</v>
      </c>
      <c r="O79">
        <f>SUMIFS('Raw data'!$J:$J,'Raw data'!$F:$F,'Data pivot'!M79)</f>
        <v>4443.57876712329</v>
      </c>
    </row>
    <row r="80" spans="1:15">
      <c r="A80" t="s">
        <v>322</v>
      </c>
      <c r="B80">
        <v>4791.35273972603</v>
      </c>
      <c r="E80" t="s">
        <v>303</v>
      </c>
      <c r="F80">
        <v>1</v>
      </c>
      <c r="G80">
        <v>7882.44863013699</v>
      </c>
      <c r="I80" t="s">
        <v>1009</v>
      </c>
      <c r="J80">
        <v>1</v>
      </c>
      <c r="K80">
        <v>1970.63356164384</v>
      </c>
      <c r="M80" t="s">
        <v>888</v>
      </c>
      <c r="N80" t="s">
        <v>886</v>
      </c>
      <c r="O80">
        <f>SUMIFS('Raw data'!$J:$J,'Raw data'!$F:$F,'Data pivot'!M80)</f>
        <v>8887.1147260274</v>
      </c>
    </row>
    <row r="81" spans="1:15">
      <c r="A81" t="s">
        <v>572</v>
      </c>
      <c r="B81">
        <v>3593.49315068493</v>
      </c>
      <c r="E81" t="s">
        <v>305</v>
      </c>
      <c r="F81">
        <v>1</v>
      </c>
      <c r="G81">
        <v>231.849315068493</v>
      </c>
      <c r="I81" t="s">
        <v>647</v>
      </c>
      <c r="J81">
        <v>1</v>
      </c>
      <c r="K81">
        <v>1970.63356164384</v>
      </c>
      <c r="M81" t="s">
        <v>894</v>
      </c>
      <c r="N81" t="s">
        <v>892</v>
      </c>
      <c r="O81">
        <f>SUMIFS('Raw data'!$J:$J,'Raw data'!$F:$F,'Data pivot'!M81)</f>
        <v>7341.52397260274</v>
      </c>
    </row>
    <row r="82" spans="1:15">
      <c r="A82" t="s">
        <v>788</v>
      </c>
      <c r="B82">
        <v>11360.0171232877</v>
      </c>
      <c r="E82" t="s">
        <v>307</v>
      </c>
      <c r="F82">
        <v>1</v>
      </c>
      <c r="G82">
        <v>266.652397260274</v>
      </c>
      <c r="I82" t="s">
        <v>105</v>
      </c>
      <c r="J82">
        <v>6</v>
      </c>
      <c r="K82">
        <v>2349.48630136986</v>
      </c>
      <c r="M82" t="s">
        <v>900</v>
      </c>
      <c r="N82" t="s">
        <v>898</v>
      </c>
      <c r="O82">
        <f>SUMIFS('Raw data'!$J:$J,'Raw data'!$F:$F,'Data pivot'!M82)</f>
        <v>3477.56849315068</v>
      </c>
    </row>
    <row r="83" spans="1:15">
      <c r="A83" t="s">
        <v>407</v>
      </c>
      <c r="B83">
        <v>20401.6695205479</v>
      </c>
      <c r="E83" t="s">
        <v>309</v>
      </c>
      <c r="F83">
        <v>1</v>
      </c>
      <c r="G83">
        <v>1120.54794520548</v>
      </c>
      <c r="I83" t="s">
        <v>165</v>
      </c>
      <c r="J83">
        <v>5</v>
      </c>
      <c r="K83">
        <v>1916.69520547945</v>
      </c>
      <c r="M83" t="s">
        <v>906</v>
      </c>
      <c r="N83" t="s">
        <v>359</v>
      </c>
      <c r="O83">
        <f>SUMIFS('Raw data'!$J:$J,'Raw data'!$F:$F,'Data pivot'!M83)</f>
        <v>17789.6832191781</v>
      </c>
    </row>
    <row r="84" spans="1:15">
      <c r="A84" t="s">
        <v>779</v>
      </c>
      <c r="B84">
        <v>16460.4023972603</v>
      </c>
      <c r="E84" t="s">
        <v>312</v>
      </c>
      <c r="F84">
        <v>1</v>
      </c>
      <c r="G84">
        <v>2588.8698630137</v>
      </c>
      <c r="I84" t="s">
        <v>183</v>
      </c>
      <c r="J84">
        <v>1</v>
      </c>
      <c r="K84">
        <v>2086.55821917808</v>
      </c>
      <c r="M84" t="s">
        <v>922</v>
      </c>
      <c r="N84" t="s">
        <v>468</v>
      </c>
      <c r="O84">
        <f>SUMIFS('Raw data'!$J:$J,'Raw data'!$F:$F,'Data pivot'!M84)</f>
        <v>3941.26712328767</v>
      </c>
    </row>
    <row r="85" spans="1:15">
      <c r="A85" t="s">
        <v>205</v>
      </c>
      <c r="B85">
        <v>6761.94349315068</v>
      </c>
      <c r="E85" t="s">
        <v>314</v>
      </c>
      <c r="F85">
        <v>1</v>
      </c>
      <c r="G85">
        <v>266.652397260274</v>
      </c>
      <c r="I85" t="s">
        <v>936</v>
      </c>
      <c r="J85">
        <v>1</v>
      </c>
      <c r="K85">
        <v>1854.70890410959</v>
      </c>
      <c r="M85" t="s">
        <v>932</v>
      </c>
      <c r="N85" t="s">
        <v>930</v>
      </c>
      <c r="O85">
        <f>SUMIFS('Raw data'!$J:$J,'Raw data'!$F:$F,'Data pivot'!M85)</f>
        <v>5834.58904109589</v>
      </c>
    </row>
    <row r="86" spans="1:15">
      <c r="A86" t="s">
        <v>852</v>
      </c>
      <c r="B86">
        <v>7264.2551369863</v>
      </c>
      <c r="E86" t="s">
        <v>316</v>
      </c>
      <c r="F86">
        <v>1</v>
      </c>
      <c r="G86">
        <v>7086.5154109589</v>
      </c>
      <c r="I86" t="s">
        <v>188</v>
      </c>
      <c r="J86">
        <v>1</v>
      </c>
      <c r="K86">
        <v>1043.27910958904</v>
      </c>
      <c r="M86" t="s">
        <v>935</v>
      </c>
      <c r="N86" t="s">
        <v>165</v>
      </c>
      <c r="O86">
        <f>SUMIFS('Raw data'!$J:$J,'Raw data'!$F:$F,'Data pivot'!M86)</f>
        <v>2256.59246575342</v>
      </c>
    </row>
    <row r="87" spans="1:15">
      <c r="A87" t="s">
        <v>75</v>
      </c>
      <c r="B87">
        <v>4907.2345890411</v>
      </c>
      <c r="E87" t="s">
        <v>320</v>
      </c>
      <c r="F87">
        <v>1</v>
      </c>
      <c r="G87">
        <v>3338.4845890411</v>
      </c>
      <c r="I87" t="s">
        <v>180</v>
      </c>
      <c r="J87">
        <v>1</v>
      </c>
      <c r="K87">
        <v>966.010273972603</v>
      </c>
      <c r="M87" t="s">
        <v>941</v>
      </c>
      <c r="N87" t="s">
        <v>939</v>
      </c>
      <c r="O87">
        <f>SUMIFS('Raw data'!$J:$J,'Raw data'!$F:$F,'Data pivot'!M87)</f>
        <v>3106.67808219178</v>
      </c>
    </row>
    <row r="88" spans="1:15">
      <c r="A88" t="s">
        <v>971</v>
      </c>
      <c r="B88">
        <v>3052.52568493151</v>
      </c>
      <c r="E88" t="s">
        <v>323</v>
      </c>
      <c r="F88">
        <v>1</v>
      </c>
      <c r="G88">
        <v>4791.35273972603</v>
      </c>
      <c r="I88" t="s">
        <v>146</v>
      </c>
      <c r="J88">
        <v>2</v>
      </c>
      <c r="K88">
        <v>3091.18150684932</v>
      </c>
      <c r="M88" t="s">
        <v>949</v>
      </c>
      <c r="N88" t="s">
        <v>947</v>
      </c>
      <c r="O88">
        <f>SUMIFS('Raw data'!$J:$J,'Raw data'!$F:$F,'Data pivot'!M88)</f>
        <v>3941.26712328767</v>
      </c>
    </row>
    <row r="89" spans="1:15">
      <c r="A89" t="s">
        <v>488</v>
      </c>
      <c r="B89">
        <v>583.518835616438</v>
      </c>
      <c r="E89" t="s">
        <v>327</v>
      </c>
      <c r="F89">
        <v>1</v>
      </c>
      <c r="G89">
        <v>266.652397260274</v>
      </c>
      <c r="I89" t="s">
        <v>152</v>
      </c>
      <c r="J89">
        <v>1</v>
      </c>
      <c r="K89">
        <v>1120.54794520548</v>
      </c>
      <c r="M89" t="s">
        <v>955</v>
      </c>
      <c r="N89" t="s">
        <v>954</v>
      </c>
      <c r="O89">
        <f>SUMIFS('Raw data'!$J:$J,'Raw data'!$F:$F,'Data pivot'!M89)</f>
        <v>3956.72089041096</v>
      </c>
    </row>
    <row r="90" spans="1:15">
      <c r="A90" t="s">
        <v>1030</v>
      </c>
      <c r="B90">
        <v>3056.46404109589</v>
      </c>
      <c r="E90" t="s">
        <v>330</v>
      </c>
      <c r="F90">
        <v>1</v>
      </c>
      <c r="G90">
        <v>2588.8698630137</v>
      </c>
      <c r="I90" t="s">
        <v>216</v>
      </c>
      <c r="J90">
        <v>1</v>
      </c>
      <c r="K90">
        <v>1120.54794520548</v>
      </c>
      <c r="M90" t="s">
        <v>969</v>
      </c>
      <c r="N90" t="s">
        <v>951</v>
      </c>
      <c r="O90">
        <f>SUMIFS('Raw data'!$J:$J,'Raw data'!$F:$F,'Data pivot'!M90)</f>
        <v>633.732876712329</v>
      </c>
    </row>
    <row r="91" spans="1:15">
      <c r="A91" t="s">
        <v>116</v>
      </c>
      <c r="B91">
        <v>2086.55821917808</v>
      </c>
      <c r="E91" t="s">
        <v>333</v>
      </c>
      <c r="F91">
        <v>1</v>
      </c>
      <c r="G91">
        <v>490.753424657534</v>
      </c>
      <c r="I91" t="s">
        <v>403</v>
      </c>
      <c r="J91">
        <v>10</v>
      </c>
      <c r="K91">
        <v>11205.4794520548</v>
      </c>
      <c r="M91" t="s">
        <v>1001</v>
      </c>
      <c r="N91" t="s">
        <v>999</v>
      </c>
      <c r="O91">
        <f>SUMIFS('Raw data'!$J:$J,'Raw data'!$F:$F,'Data pivot'!M91)</f>
        <v>5680.05136986301</v>
      </c>
    </row>
    <row r="92" spans="1:15">
      <c r="A92" t="s">
        <v>103</v>
      </c>
      <c r="B92">
        <v>4335.44520547945</v>
      </c>
      <c r="E92" t="s">
        <v>335</v>
      </c>
      <c r="F92">
        <v>1</v>
      </c>
      <c r="G92">
        <v>266.652397260274</v>
      </c>
      <c r="I92" t="s">
        <v>219</v>
      </c>
      <c r="J92">
        <v>1</v>
      </c>
      <c r="K92">
        <v>2936.60102739726</v>
      </c>
      <c r="M92" t="s">
        <v>1042</v>
      </c>
      <c r="N92" t="s">
        <v>1040</v>
      </c>
      <c r="O92">
        <f>SUMIFS('Raw data'!$J:$J,'Raw data'!$F:$F,'Data pivot'!M92)</f>
        <v>94241.5667808219</v>
      </c>
    </row>
    <row r="93" spans="1:15">
      <c r="A93" t="s">
        <v>909</v>
      </c>
      <c r="B93">
        <v>297.559931506849</v>
      </c>
      <c r="E93" t="s">
        <v>338</v>
      </c>
      <c r="F93">
        <v>1</v>
      </c>
      <c r="G93">
        <v>5564.12671232877</v>
      </c>
      <c r="I93" t="s">
        <v>675</v>
      </c>
      <c r="J93">
        <v>1</v>
      </c>
      <c r="K93">
        <v>6877.82534246575</v>
      </c>
      <c r="M93" t="s">
        <v>1117</v>
      </c>
      <c r="N93" t="s">
        <v>1115</v>
      </c>
      <c r="O93">
        <f>SUMIFS('Raw data'!$J:$J,'Raw data'!$F:$F,'Data pivot'!M93)</f>
        <v>896.489726027397</v>
      </c>
    </row>
    <row r="94" spans="1:15">
      <c r="A94" t="s">
        <v>350</v>
      </c>
      <c r="B94">
        <v>463.698630136986</v>
      </c>
      <c r="E94" t="s">
        <v>342</v>
      </c>
      <c r="F94">
        <v>1</v>
      </c>
      <c r="G94">
        <v>266.652397260274</v>
      </c>
      <c r="I94" t="s">
        <v>70</v>
      </c>
      <c r="J94">
        <v>1</v>
      </c>
      <c r="K94">
        <v>1236.47260273973</v>
      </c>
    </row>
    <row r="95" spans="1:15">
      <c r="A95" t="s">
        <v>839</v>
      </c>
      <c r="B95">
        <v>2434.28938356164</v>
      </c>
      <c r="E95" t="s">
        <v>344</v>
      </c>
      <c r="F95">
        <v>1</v>
      </c>
      <c r="G95">
        <v>498.501712328767</v>
      </c>
      <c r="I95" t="s">
        <v>860</v>
      </c>
      <c r="J95">
        <v>1</v>
      </c>
      <c r="K95">
        <v>1236.47260273973</v>
      </c>
    </row>
    <row r="96" spans="1:15">
      <c r="A96" t="s">
        <v>763</v>
      </c>
      <c r="B96">
        <v>11900.9845890411</v>
      </c>
      <c r="E96" t="s">
        <v>347</v>
      </c>
      <c r="F96">
        <v>1</v>
      </c>
      <c r="G96">
        <v>3091.18150684932</v>
      </c>
      <c r="I96" t="s">
        <v>73</v>
      </c>
      <c r="J96">
        <v>1</v>
      </c>
      <c r="K96">
        <v>1236.47260273973</v>
      </c>
    </row>
    <row r="97" spans="1:11">
      <c r="A97" t="s">
        <v>479</v>
      </c>
      <c r="B97">
        <v>850.085616438356</v>
      </c>
      <c r="E97" t="s">
        <v>348</v>
      </c>
      <c r="F97">
        <v>1</v>
      </c>
      <c r="G97">
        <v>4907.2345890411</v>
      </c>
      <c r="I97" t="s">
        <v>854</v>
      </c>
      <c r="J97">
        <v>1</v>
      </c>
      <c r="K97">
        <v>2086.55821917808</v>
      </c>
    </row>
    <row r="98" spans="1:11">
      <c r="A98" t="s">
        <v>693</v>
      </c>
      <c r="B98">
        <v>2588.8698630137</v>
      </c>
      <c r="E98" t="s">
        <v>351</v>
      </c>
      <c r="F98">
        <v>1</v>
      </c>
      <c r="G98">
        <v>463.698630136986</v>
      </c>
      <c r="I98" t="s">
        <v>644</v>
      </c>
      <c r="J98">
        <v>1</v>
      </c>
      <c r="K98">
        <v>2086.55821917808</v>
      </c>
    </row>
    <row r="99" spans="1:11">
      <c r="A99" t="s">
        <v>834</v>
      </c>
      <c r="B99">
        <v>363.227739726027</v>
      </c>
      <c r="E99" t="s">
        <v>354</v>
      </c>
      <c r="F99">
        <v>1</v>
      </c>
      <c r="G99">
        <v>12016.8664383562</v>
      </c>
      <c r="I99" t="s">
        <v>99</v>
      </c>
      <c r="J99">
        <v>1</v>
      </c>
      <c r="K99">
        <v>1120.54794520548</v>
      </c>
    </row>
    <row r="100" spans="1:11">
      <c r="A100" t="s">
        <v>617</v>
      </c>
      <c r="B100">
        <v>7611.98630136986</v>
      </c>
      <c r="E100" t="s">
        <v>358</v>
      </c>
      <c r="F100">
        <v>1</v>
      </c>
      <c r="G100">
        <v>1738.78424657534</v>
      </c>
      <c r="I100" t="s">
        <v>422</v>
      </c>
      <c r="J100">
        <v>1</v>
      </c>
      <c r="K100">
        <v>3709.41780821918</v>
      </c>
    </row>
    <row r="101" spans="1:11">
      <c r="A101" t="s">
        <v>589</v>
      </c>
      <c r="B101">
        <v>463.698630136986</v>
      </c>
      <c r="E101" t="s">
        <v>360</v>
      </c>
      <c r="F101">
        <v>1</v>
      </c>
      <c r="G101">
        <v>4343.10787671233</v>
      </c>
      <c r="I101" t="s">
        <v>886</v>
      </c>
      <c r="J101">
        <v>1</v>
      </c>
      <c r="K101">
        <v>3709.41780821918</v>
      </c>
    </row>
    <row r="102" spans="1:11">
      <c r="A102" t="s">
        <v>803</v>
      </c>
      <c r="B102">
        <v>4173.07363013699</v>
      </c>
      <c r="E102" t="s">
        <v>362</v>
      </c>
      <c r="F102">
        <v>1</v>
      </c>
      <c r="G102">
        <v>266.652397260274</v>
      </c>
      <c r="I102" t="s">
        <v>530</v>
      </c>
      <c r="J102">
        <v>1</v>
      </c>
      <c r="K102">
        <v>6143.70719178082</v>
      </c>
    </row>
    <row r="103" spans="1:11">
      <c r="A103" t="s">
        <v>247</v>
      </c>
      <c r="B103">
        <v>7959.80308219178</v>
      </c>
      <c r="E103" t="s">
        <v>365</v>
      </c>
      <c r="F103">
        <v>1</v>
      </c>
      <c r="G103">
        <v>494.606164383562</v>
      </c>
      <c r="I103" t="s">
        <v>784</v>
      </c>
      <c r="J103">
        <v>1</v>
      </c>
      <c r="K103">
        <v>2357.02054794521</v>
      </c>
    </row>
    <row r="104" spans="1:11">
      <c r="A104" t="s">
        <v>414</v>
      </c>
      <c r="B104">
        <v>1298.37328767123</v>
      </c>
      <c r="E104" t="s">
        <v>368</v>
      </c>
      <c r="F104">
        <v>1</v>
      </c>
      <c r="G104">
        <v>231.849315068493</v>
      </c>
      <c r="I104" t="s">
        <v>574</v>
      </c>
      <c r="J104">
        <v>1</v>
      </c>
      <c r="K104">
        <v>2357.02054794521</v>
      </c>
    </row>
    <row r="105" spans="1:11">
      <c r="A105" t="s">
        <v>443</v>
      </c>
      <c r="B105">
        <v>5761.21575342466</v>
      </c>
      <c r="E105" t="s">
        <v>371</v>
      </c>
      <c r="F105">
        <v>1</v>
      </c>
      <c r="G105">
        <v>7418.83561643836</v>
      </c>
      <c r="I105" t="s">
        <v>805</v>
      </c>
      <c r="J105">
        <v>1</v>
      </c>
      <c r="K105">
        <v>2357.02054794521</v>
      </c>
    </row>
    <row r="106" spans="1:11">
      <c r="A106" t="s">
        <v>397</v>
      </c>
      <c r="B106">
        <v>1236.47260273973</v>
      </c>
      <c r="E106" t="s">
        <v>375</v>
      </c>
      <c r="F106">
        <v>1</v>
      </c>
      <c r="G106">
        <v>1120.54794520548</v>
      </c>
      <c r="I106" t="s">
        <v>570</v>
      </c>
      <c r="J106">
        <v>1</v>
      </c>
      <c r="K106">
        <v>1854.70890410959</v>
      </c>
    </row>
    <row r="107" spans="1:11">
      <c r="A107" t="s">
        <v>61</v>
      </c>
      <c r="B107">
        <v>231.849315068493</v>
      </c>
      <c r="E107" t="s">
        <v>378</v>
      </c>
      <c r="F107">
        <v>1</v>
      </c>
      <c r="G107">
        <v>363.227739726027</v>
      </c>
      <c r="I107" t="s">
        <v>808</v>
      </c>
      <c r="J107">
        <v>1</v>
      </c>
      <c r="K107">
        <v>1854.70890410959</v>
      </c>
    </row>
    <row r="108" spans="1:11">
      <c r="A108" t="s">
        <v>100</v>
      </c>
      <c r="B108">
        <v>1120.54794520548</v>
      </c>
      <c r="E108" t="s">
        <v>380</v>
      </c>
      <c r="F108">
        <v>1</v>
      </c>
      <c r="G108">
        <v>730.35102739726</v>
      </c>
      <c r="I108" t="s">
        <v>425</v>
      </c>
      <c r="J108">
        <v>1</v>
      </c>
      <c r="K108">
        <v>1854.70890410959</v>
      </c>
    </row>
    <row r="109" spans="1:11">
      <c r="A109" t="s">
        <v>302</v>
      </c>
      <c r="B109">
        <v>7882.44863013699</v>
      </c>
      <c r="E109" t="s">
        <v>382</v>
      </c>
      <c r="F109">
        <v>1</v>
      </c>
      <c r="G109">
        <v>266.652397260274</v>
      </c>
      <c r="I109" t="s">
        <v>207</v>
      </c>
      <c r="J109">
        <v>2</v>
      </c>
      <c r="K109">
        <v>2704.79452054795</v>
      </c>
    </row>
    <row r="110" spans="1:11">
      <c r="A110" t="s">
        <v>819</v>
      </c>
      <c r="B110">
        <v>3516.22431506849</v>
      </c>
      <c r="E110" t="s">
        <v>384</v>
      </c>
      <c r="F110">
        <v>1</v>
      </c>
      <c r="G110">
        <v>4122.8595890411</v>
      </c>
      <c r="I110" t="s">
        <v>328</v>
      </c>
      <c r="J110">
        <v>1</v>
      </c>
      <c r="K110">
        <v>2588.8698630137</v>
      </c>
    </row>
    <row r="111" spans="1:11">
      <c r="A111" t="s">
        <v>527</v>
      </c>
      <c r="B111">
        <v>3709.41780821918</v>
      </c>
      <c r="E111" t="s">
        <v>387</v>
      </c>
      <c r="F111">
        <v>1</v>
      </c>
      <c r="G111">
        <v>1854.70890410959</v>
      </c>
      <c r="I111" t="s">
        <v>158</v>
      </c>
      <c r="J111">
        <v>2</v>
      </c>
      <c r="K111">
        <v>8887.07191780822</v>
      </c>
    </row>
    <row r="112" spans="1:11">
      <c r="A112" t="s">
        <v>728</v>
      </c>
      <c r="B112">
        <v>1058.77568493151</v>
      </c>
      <c r="E112" t="s">
        <v>388</v>
      </c>
      <c r="F112">
        <v>1</v>
      </c>
      <c r="G112">
        <v>633.732876712329</v>
      </c>
      <c r="I112" t="s">
        <v>717</v>
      </c>
      <c r="J112">
        <v>1</v>
      </c>
      <c r="K112">
        <v>4443.53595890411</v>
      </c>
    </row>
    <row r="113" spans="1:11">
      <c r="A113" t="s">
        <v>269</v>
      </c>
      <c r="B113">
        <v>3941.22431506849</v>
      </c>
      <c r="E113" t="s">
        <v>391</v>
      </c>
      <c r="F113">
        <v>1</v>
      </c>
      <c r="G113">
        <v>255.051369863014</v>
      </c>
      <c r="I113" t="s">
        <v>830</v>
      </c>
      <c r="J113">
        <v>1</v>
      </c>
      <c r="K113">
        <v>1236.47260273973</v>
      </c>
    </row>
    <row r="114" spans="1:11">
      <c r="A114" t="s">
        <v>703</v>
      </c>
      <c r="B114">
        <v>297.559931506849</v>
      </c>
      <c r="E114" t="s">
        <v>394</v>
      </c>
      <c r="F114">
        <v>1</v>
      </c>
      <c r="G114">
        <v>25811.1729452055</v>
      </c>
      <c r="I114" t="s">
        <v>1058</v>
      </c>
      <c r="J114">
        <v>1</v>
      </c>
      <c r="K114">
        <v>1236.47260273973</v>
      </c>
    </row>
    <row r="115" spans="1:11">
      <c r="A115" t="s">
        <v>825</v>
      </c>
      <c r="B115">
        <v>529.366438356164</v>
      </c>
      <c r="E115" t="s">
        <v>398</v>
      </c>
      <c r="F115">
        <v>1</v>
      </c>
      <c r="G115">
        <v>1236.47260273973</v>
      </c>
      <c r="I115" t="s">
        <v>481</v>
      </c>
      <c r="J115">
        <v>1</v>
      </c>
      <c r="K115">
        <v>1236.47260273973</v>
      </c>
    </row>
    <row r="116" spans="1:11">
      <c r="A116" t="s">
        <v>244</v>
      </c>
      <c r="B116">
        <v>1120.54794520548</v>
      </c>
      <c r="E116" t="s">
        <v>400</v>
      </c>
      <c r="F116">
        <v>1</v>
      </c>
      <c r="G116">
        <v>533.304794520548</v>
      </c>
      <c r="I116" t="s">
        <v>637</v>
      </c>
      <c r="J116">
        <v>1</v>
      </c>
      <c r="K116">
        <v>2588.8698630137</v>
      </c>
    </row>
    <row r="117" spans="1:11">
      <c r="A117" t="s">
        <v>845</v>
      </c>
      <c r="B117">
        <v>2434.28938356164</v>
      </c>
      <c r="E117" t="s">
        <v>402</v>
      </c>
      <c r="F117">
        <v>1</v>
      </c>
      <c r="G117">
        <v>231.849315068493</v>
      </c>
      <c r="I117" t="s">
        <v>121</v>
      </c>
      <c r="J117">
        <v>1</v>
      </c>
      <c r="K117">
        <v>1197.8595890411</v>
      </c>
    </row>
    <row r="118" spans="1:11">
      <c r="A118" t="s">
        <v>64</v>
      </c>
      <c r="B118">
        <v>1928.16780821918</v>
      </c>
      <c r="E118" t="s">
        <v>405</v>
      </c>
      <c r="F118">
        <v>1</v>
      </c>
      <c r="G118">
        <v>1120.54794520548</v>
      </c>
      <c r="I118" t="s">
        <v>169</v>
      </c>
      <c r="J118">
        <v>1</v>
      </c>
      <c r="K118">
        <v>1468.32191780822</v>
      </c>
    </row>
    <row r="119" spans="1:11">
      <c r="A119" t="s">
        <v>449</v>
      </c>
      <c r="B119">
        <v>9582.57705479452</v>
      </c>
      <c r="E119" t="s">
        <v>408</v>
      </c>
      <c r="F119">
        <v>1</v>
      </c>
      <c r="G119">
        <v>8964.38356164384</v>
      </c>
      <c r="I119" t="s">
        <v>497</v>
      </c>
      <c r="J119">
        <v>1</v>
      </c>
      <c r="K119">
        <v>1197.8595890411</v>
      </c>
    </row>
    <row r="120" spans="1:11">
      <c r="A120" t="s">
        <v>957</v>
      </c>
      <c r="B120">
        <v>5525.47089041096</v>
      </c>
      <c r="E120" t="s">
        <v>411</v>
      </c>
      <c r="F120">
        <v>1</v>
      </c>
      <c r="G120">
        <v>4482.19178082192</v>
      </c>
      <c r="I120" t="s">
        <v>500</v>
      </c>
      <c r="J120">
        <v>1</v>
      </c>
      <c r="K120">
        <v>1197.8595890411</v>
      </c>
    </row>
    <row r="121" spans="1:11">
      <c r="A121" t="s">
        <v>71</v>
      </c>
      <c r="B121">
        <v>2472.94520547945</v>
      </c>
      <c r="E121" t="s">
        <v>415</v>
      </c>
      <c r="F121">
        <v>1</v>
      </c>
      <c r="G121">
        <v>1298.37328767123</v>
      </c>
      <c r="I121" t="s">
        <v>225</v>
      </c>
      <c r="J121">
        <v>1</v>
      </c>
      <c r="K121">
        <v>6220.97602739726</v>
      </c>
    </row>
    <row r="122" spans="1:11">
      <c r="A122" t="s">
        <v>741</v>
      </c>
      <c r="B122">
        <v>2434.28938356164</v>
      </c>
      <c r="E122" t="s">
        <v>419</v>
      </c>
      <c r="F122">
        <v>1</v>
      </c>
      <c r="G122">
        <v>297.559931506849</v>
      </c>
      <c r="I122" t="s">
        <v>933</v>
      </c>
      <c r="J122">
        <v>1</v>
      </c>
      <c r="K122">
        <v>3400.29965753425</v>
      </c>
    </row>
    <row r="123" spans="1:11">
      <c r="A123" t="s">
        <v>78</v>
      </c>
      <c r="B123">
        <v>533.304794520548</v>
      </c>
      <c r="E123" t="s">
        <v>421</v>
      </c>
      <c r="F123">
        <v>1</v>
      </c>
      <c r="G123">
        <v>1352.39726027397</v>
      </c>
      <c r="I123" t="s">
        <v>231</v>
      </c>
      <c r="J123">
        <v>2</v>
      </c>
      <c r="K123">
        <v>5564.12671232877</v>
      </c>
    </row>
    <row r="124" spans="1:11">
      <c r="A124" t="s">
        <v>107</v>
      </c>
      <c r="B124">
        <v>266.652397260274</v>
      </c>
      <c r="E124" t="s">
        <v>424</v>
      </c>
      <c r="F124">
        <v>1</v>
      </c>
      <c r="G124">
        <v>5564.12671232877</v>
      </c>
      <c r="I124" t="s">
        <v>166</v>
      </c>
      <c r="J124">
        <v>1</v>
      </c>
      <c r="K124">
        <v>2897.98801369863</v>
      </c>
    </row>
    <row r="125" spans="1:11">
      <c r="A125" t="s">
        <v>110</v>
      </c>
      <c r="B125">
        <v>112.071917808219</v>
      </c>
      <c r="E125" t="s">
        <v>428</v>
      </c>
      <c r="F125">
        <v>1</v>
      </c>
      <c r="G125">
        <v>266.652397260274</v>
      </c>
      <c r="I125" t="s">
        <v>94</v>
      </c>
      <c r="J125">
        <v>1</v>
      </c>
      <c r="K125">
        <v>1197.8595890411</v>
      </c>
    </row>
    <row r="126" spans="1:11">
      <c r="A126" t="s">
        <v>89</v>
      </c>
      <c r="B126">
        <v>266.652397260274</v>
      </c>
      <c r="E126" t="s">
        <v>431</v>
      </c>
      <c r="F126">
        <v>1</v>
      </c>
      <c r="G126">
        <v>29365.9674657534</v>
      </c>
      <c r="I126" t="s">
        <v>898</v>
      </c>
      <c r="J126">
        <v>1</v>
      </c>
      <c r="K126">
        <v>1738.78424657534</v>
      </c>
    </row>
    <row r="127" spans="1:11">
      <c r="A127" t="s">
        <v>85</v>
      </c>
      <c r="B127">
        <v>2971.44691780822</v>
      </c>
      <c r="E127" t="s">
        <v>434</v>
      </c>
      <c r="F127">
        <v>1</v>
      </c>
      <c r="G127">
        <v>2434.28938356164</v>
      </c>
      <c r="I127" t="s">
        <v>901</v>
      </c>
      <c r="J127">
        <v>1</v>
      </c>
      <c r="K127">
        <v>1738.78424657534</v>
      </c>
    </row>
    <row r="128" spans="1:11">
      <c r="A128" t="s">
        <v>119</v>
      </c>
      <c r="B128">
        <v>2704.83732876712</v>
      </c>
      <c r="E128" t="s">
        <v>436</v>
      </c>
      <c r="F128">
        <v>1</v>
      </c>
      <c r="G128">
        <v>266.652397260274</v>
      </c>
      <c r="I128" t="s">
        <v>542</v>
      </c>
      <c r="J128">
        <v>1</v>
      </c>
      <c r="K128">
        <v>1854.70890410959</v>
      </c>
    </row>
    <row r="129" spans="1:11">
      <c r="A129" t="s">
        <v>135</v>
      </c>
      <c r="B129">
        <v>842.380136986301</v>
      </c>
      <c r="E129" t="s">
        <v>439</v>
      </c>
      <c r="F129">
        <v>1</v>
      </c>
      <c r="G129">
        <v>4837.71404109589</v>
      </c>
      <c r="I129" t="s">
        <v>526</v>
      </c>
      <c r="J129">
        <v>1</v>
      </c>
      <c r="K129">
        <v>1854.70890410959</v>
      </c>
    </row>
    <row r="130" spans="1:11">
      <c r="A130" t="s">
        <v>138</v>
      </c>
      <c r="B130">
        <v>757.405821917808</v>
      </c>
      <c r="E130" t="s">
        <v>444</v>
      </c>
      <c r="F130">
        <v>1</v>
      </c>
      <c r="G130">
        <v>738.013698630137</v>
      </c>
      <c r="I130" t="s">
        <v>437</v>
      </c>
      <c r="J130">
        <v>1</v>
      </c>
      <c r="K130">
        <v>1854.70890410959</v>
      </c>
    </row>
    <row r="131" spans="1:11">
      <c r="A131" t="s">
        <v>141</v>
      </c>
      <c r="B131">
        <v>231.849315068493</v>
      </c>
      <c r="E131" t="s">
        <v>446</v>
      </c>
      <c r="F131">
        <v>1</v>
      </c>
      <c r="G131">
        <v>5023.20205479452</v>
      </c>
      <c r="I131" t="s">
        <v>529</v>
      </c>
      <c r="J131">
        <v>1</v>
      </c>
      <c r="K131">
        <v>1854.70890410959</v>
      </c>
    </row>
    <row r="132" spans="1:11">
      <c r="A132" t="s">
        <v>144</v>
      </c>
      <c r="B132">
        <v>1584.24657534247</v>
      </c>
      <c r="E132" t="s">
        <v>450</v>
      </c>
      <c r="F132">
        <v>1</v>
      </c>
      <c r="G132">
        <v>9582.57705479452</v>
      </c>
      <c r="I132" t="s">
        <v>199</v>
      </c>
      <c r="J132">
        <v>2</v>
      </c>
      <c r="K132">
        <v>4443.57876712329</v>
      </c>
    </row>
    <row r="133" spans="1:11">
      <c r="A133" t="s">
        <v>153</v>
      </c>
      <c r="B133">
        <v>1120.54794520548</v>
      </c>
      <c r="E133" t="s">
        <v>453</v>
      </c>
      <c r="F133">
        <v>1</v>
      </c>
      <c r="G133">
        <v>6955.13698630137</v>
      </c>
      <c r="I133" t="s">
        <v>250</v>
      </c>
      <c r="J133">
        <v>2</v>
      </c>
      <c r="K133">
        <v>6800.59931506849</v>
      </c>
    </row>
    <row r="134" spans="1:11">
      <c r="A134" t="s">
        <v>147</v>
      </c>
      <c r="B134">
        <v>1545.59075342466</v>
      </c>
      <c r="E134" t="s">
        <v>455</v>
      </c>
      <c r="F134">
        <v>1</v>
      </c>
      <c r="G134">
        <v>231.849315068493</v>
      </c>
      <c r="I134" t="s">
        <v>818</v>
      </c>
      <c r="J134">
        <v>1</v>
      </c>
      <c r="K134">
        <v>3516.22431506849</v>
      </c>
    </row>
    <row r="135" spans="1:11">
      <c r="A135" t="s">
        <v>150</v>
      </c>
      <c r="B135">
        <v>2434.28938356164</v>
      </c>
      <c r="E135" t="s">
        <v>458</v>
      </c>
      <c r="F135">
        <v>1</v>
      </c>
      <c r="G135">
        <v>3400.29965753425</v>
      </c>
      <c r="I135" t="s">
        <v>889</v>
      </c>
      <c r="J135">
        <v>1</v>
      </c>
      <c r="K135">
        <v>5177.69691780822</v>
      </c>
    </row>
    <row r="136" spans="1:11">
      <c r="A136" t="s">
        <v>160</v>
      </c>
      <c r="B136">
        <v>231.849315068493</v>
      </c>
      <c r="E136" t="s">
        <v>460</v>
      </c>
      <c r="F136">
        <v>1</v>
      </c>
      <c r="G136">
        <v>564.169520547945</v>
      </c>
      <c r="I136" t="s">
        <v>678</v>
      </c>
      <c r="J136">
        <v>1</v>
      </c>
      <c r="K136">
        <v>24497.4315068493</v>
      </c>
    </row>
    <row r="137" spans="1:11">
      <c r="A137" t="s">
        <v>167</v>
      </c>
      <c r="B137">
        <v>2975.29965753425</v>
      </c>
      <c r="E137" t="s">
        <v>462</v>
      </c>
      <c r="F137">
        <v>1</v>
      </c>
      <c r="G137">
        <v>266.652397260274</v>
      </c>
      <c r="I137" t="s">
        <v>229</v>
      </c>
      <c r="J137">
        <v>2</v>
      </c>
      <c r="K137">
        <v>24420.1198630137</v>
      </c>
    </row>
    <row r="138" spans="1:11">
      <c r="A138" t="s">
        <v>171</v>
      </c>
      <c r="B138">
        <v>6877.86815068493</v>
      </c>
      <c r="E138" t="s">
        <v>465</v>
      </c>
      <c r="F138">
        <v>1</v>
      </c>
      <c r="G138">
        <v>2357.02054794521</v>
      </c>
      <c r="I138" t="s">
        <v>512</v>
      </c>
      <c r="J138">
        <v>1</v>
      </c>
      <c r="K138">
        <v>12210.0599315068</v>
      </c>
    </row>
    <row r="139" spans="1:11">
      <c r="A139" t="s">
        <v>175</v>
      </c>
      <c r="B139">
        <v>529.366438356164</v>
      </c>
      <c r="E139" t="s">
        <v>467</v>
      </c>
      <c r="F139">
        <v>1</v>
      </c>
      <c r="G139">
        <v>363.227739726027</v>
      </c>
      <c r="I139" t="s">
        <v>143</v>
      </c>
      <c r="J139">
        <v>1</v>
      </c>
      <c r="K139">
        <v>1584.24657534247</v>
      </c>
    </row>
    <row r="140" spans="1:11">
      <c r="A140" t="s">
        <v>186</v>
      </c>
      <c r="B140">
        <v>347.77397260274</v>
      </c>
      <c r="E140" t="s">
        <v>470</v>
      </c>
      <c r="F140">
        <v>1</v>
      </c>
      <c r="G140">
        <v>1120.54794520548</v>
      </c>
      <c r="I140" t="s">
        <v>170</v>
      </c>
      <c r="J140">
        <v>1</v>
      </c>
      <c r="K140">
        <v>1854.70890410959</v>
      </c>
    </row>
    <row r="141" spans="1:11">
      <c r="A141" t="s">
        <v>209</v>
      </c>
      <c r="B141">
        <v>850.085616438356</v>
      </c>
      <c r="E141" t="s">
        <v>473</v>
      </c>
      <c r="F141">
        <v>1</v>
      </c>
      <c r="G141">
        <v>6004.62328767123</v>
      </c>
      <c r="I141" t="s">
        <v>173</v>
      </c>
      <c r="J141">
        <v>1</v>
      </c>
      <c r="K141">
        <v>1854.70890410959</v>
      </c>
    </row>
    <row r="142" spans="1:11">
      <c r="A142" t="s">
        <v>193</v>
      </c>
      <c r="B142">
        <v>490.753424657534</v>
      </c>
      <c r="E142" t="s">
        <v>477</v>
      </c>
      <c r="F142">
        <v>1</v>
      </c>
      <c r="G142">
        <v>266.652397260274</v>
      </c>
      <c r="I142" t="s">
        <v>271</v>
      </c>
      <c r="J142">
        <v>1</v>
      </c>
      <c r="K142">
        <v>1429.66609589041</v>
      </c>
    </row>
    <row r="143" spans="1:11">
      <c r="A143" t="s">
        <v>189</v>
      </c>
      <c r="B143">
        <v>2086.55821917808</v>
      </c>
      <c r="E143" t="s">
        <v>480</v>
      </c>
      <c r="F143">
        <v>1</v>
      </c>
      <c r="G143">
        <v>850.085616438356</v>
      </c>
      <c r="I143" t="s">
        <v>463</v>
      </c>
      <c r="J143">
        <v>1</v>
      </c>
      <c r="K143">
        <v>2357.02054794521</v>
      </c>
    </row>
    <row r="144" spans="1:11">
      <c r="A144" t="s">
        <v>221</v>
      </c>
      <c r="B144">
        <v>26429.3664383562</v>
      </c>
      <c r="E144" t="s">
        <v>483</v>
      </c>
      <c r="F144">
        <v>1</v>
      </c>
      <c r="G144">
        <v>1236.47260273973</v>
      </c>
      <c r="I144" t="s">
        <v>345</v>
      </c>
      <c r="J144">
        <v>1</v>
      </c>
      <c r="K144">
        <v>3091.18150684932</v>
      </c>
    </row>
    <row r="145" spans="1:11">
      <c r="A145" t="s">
        <v>240</v>
      </c>
      <c r="B145">
        <v>2264.34075342466</v>
      </c>
      <c r="E145" t="s">
        <v>486</v>
      </c>
      <c r="F145">
        <v>1</v>
      </c>
      <c r="G145">
        <v>463.698630136986</v>
      </c>
      <c r="I145" t="s">
        <v>598</v>
      </c>
      <c r="J145">
        <v>1</v>
      </c>
      <c r="K145">
        <v>3091.18150684932</v>
      </c>
    </row>
    <row r="146" spans="1:11">
      <c r="A146" t="s">
        <v>252</v>
      </c>
      <c r="B146">
        <v>285.958904109589</v>
      </c>
      <c r="E146" t="s">
        <v>489</v>
      </c>
      <c r="F146">
        <v>1</v>
      </c>
      <c r="G146">
        <v>583.518835616438</v>
      </c>
      <c r="I146" t="s">
        <v>731</v>
      </c>
      <c r="J146">
        <v>1</v>
      </c>
      <c r="K146">
        <v>2936.60102739726</v>
      </c>
    </row>
    <row r="147" spans="1:11">
      <c r="A147" t="s">
        <v>255</v>
      </c>
      <c r="B147">
        <v>633.732876712329</v>
      </c>
      <c r="E147" t="s">
        <v>492</v>
      </c>
      <c r="F147">
        <v>1</v>
      </c>
      <c r="G147">
        <v>2704.79452054795</v>
      </c>
      <c r="I147" t="s">
        <v>74</v>
      </c>
      <c r="J147">
        <v>2</v>
      </c>
      <c r="K147">
        <v>9814.46917808219</v>
      </c>
    </row>
    <row r="148" spans="1:11">
      <c r="A148" t="s">
        <v>258</v>
      </c>
      <c r="B148">
        <v>266.652397260274</v>
      </c>
      <c r="E148" t="s">
        <v>494</v>
      </c>
      <c r="F148">
        <v>1</v>
      </c>
      <c r="G148">
        <v>231.849315068493</v>
      </c>
      <c r="I148" t="s">
        <v>601</v>
      </c>
      <c r="J148">
        <v>2</v>
      </c>
      <c r="K148">
        <v>9814.46917808219</v>
      </c>
    </row>
    <row r="149" spans="1:11">
      <c r="A149" t="s">
        <v>265</v>
      </c>
      <c r="B149">
        <v>1955.22260273973</v>
      </c>
      <c r="E149" t="s">
        <v>496</v>
      </c>
      <c r="F149">
        <v>1</v>
      </c>
      <c r="G149">
        <v>266.652397260274</v>
      </c>
      <c r="I149" t="s">
        <v>847</v>
      </c>
      <c r="J149">
        <v>1</v>
      </c>
      <c r="K149">
        <v>2434.28938356164</v>
      </c>
    </row>
    <row r="150" spans="1:11">
      <c r="A150" t="s">
        <v>272</v>
      </c>
      <c r="B150">
        <v>2032.44863013699</v>
      </c>
      <c r="E150" t="s">
        <v>499</v>
      </c>
      <c r="F150">
        <v>1</v>
      </c>
      <c r="G150">
        <v>2395.71917808219</v>
      </c>
      <c r="I150" t="s">
        <v>797</v>
      </c>
      <c r="J150">
        <v>1</v>
      </c>
      <c r="K150">
        <v>2434.28938356164</v>
      </c>
    </row>
    <row r="151" spans="1:11">
      <c r="A151" t="s">
        <v>279</v>
      </c>
      <c r="B151">
        <v>231.849315068493</v>
      </c>
      <c r="E151" t="s">
        <v>502</v>
      </c>
      <c r="F151">
        <v>1</v>
      </c>
      <c r="G151">
        <v>463.698630136986</v>
      </c>
      <c r="I151" t="s">
        <v>802</v>
      </c>
      <c r="J151">
        <v>1</v>
      </c>
      <c r="K151">
        <v>4173.07363013699</v>
      </c>
    </row>
    <row r="152" spans="1:11">
      <c r="A152" t="s">
        <v>282</v>
      </c>
      <c r="B152">
        <v>1800.64212328767</v>
      </c>
      <c r="E152" t="s">
        <v>504</v>
      </c>
      <c r="F152">
        <v>1</v>
      </c>
      <c r="G152">
        <v>266.652397260274</v>
      </c>
      <c r="I152" t="s">
        <v>490</v>
      </c>
      <c r="J152">
        <v>1</v>
      </c>
      <c r="K152">
        <v>2704.79452054795</v>
      </c>
    </row>
    <row r="153" spans="1:11">
      <c r="A153" t="s">
        <v>290</v>
      </c>
      <c r="B153">
        <v>266.652397260274</v>
      </c>
      <c r="E153" t="s">
        <v>507</v>
      </c>
      <c r="F153">
        <v>1</v>
      </c>
      <c r="G153">
        <v>6646.06164383562</v>
      </c>
      <c r="I153" t="s">
        <v>95</v>
      </c>
      <c r="J153">
        <v>1</v>
      </c>
      <c r="K153">
        <v>2704.79452054795</v>
      </c>
    </row>
    <row r="154" spans="1:11">
      <c r="A154" t="s">
        <v>292</v>
      </c>
      <c r="B154">
        <v>266.652397260274</v>
      </c>
      <c r="E154" t="s">
        <v>511</v>
      </c>
      <c r="F154">
        <v>1</v>
      </c>
      <c r="G154">
        <v>231.849315068493</v>
      </c>
      <c r="I154" t="s">
        <v>790</v>
      </c>
      <c r="J154">
        <v>0</v>
      </c>
      <c r="K154">
        <v>0</v>
      </c>
    </row>
    <row r="155" spans="1:11">
      <c r="A155" t="s">
        <v>295</v>
      </c>
      <c r="B155">
        <v>2820.71917808219</v>
      </c>
      <c r="E155" t="s">
        <v>514</v>
      </c>
      <c r="F155">
        <v>1</v>
      </c>
      <c r="G155">
        <v>12210.0599315068</v>
      </c>
      <c r="I155" t="s">
        <v>1034</v>
      </c>
      <c r="J155">
        <v>1</v>
      </c>
      <c r="K155">
        <v>401.883561643836</v>
      </c>
    </row>
    <row r="156" spans="1:11">
      <c r="A156" t="s">
        <v>297</v>
      </c>
      <c r="B156">
        <v>266.652397260274</v>
      </c>
      <c r="E156" t="s">
        <v>517</v>
      </c>
      <c r="F156">
        <v>1</v>
      </c>
      <c r="G156">
        <v>463.698630136986</v>
      </c>
      <c r="I156" t="s">
        <v>243</v>
      </c>
      <c r="J156">
        <v>4</v>
      </c>
      <c r="K156">
        <v>4482.19178082192</v>
      </c>
    </row>
    <row r="157" spans="1:11">
      <c r="A157" t="s">
        <v>299</v>
      </c>
      <c r="B157">
        <v>266.652397260274</v>
      </c>
      <c r="E157" t="s">
        <v>519</v>
      </c>
      <c r="F157">
        <v>1</v>
      </c>
      <c r="G157">
        <v>1120.54794520548</v>
      </c>
      <c r="I157" t="s">
        <v>850</v>
      </c>
      <c r="J157">
        <v>1</v>
      </c>
      <c r="K157">
        <v>2086.55821917808</v>
      </c>
    </row>
    <row r="158" spans="1:11">
      <c r="A158" t="s">
        <v>304</v>
      </c>
      <c r="B158">
        <v>231.849315068493</v>
      </c>
      <c r="E158" t="s">
        <v>522</v>
      </c>
      <c r="F158">
        <v>1</v>
      </c>
      <c r="G158">
        <v>266.652397260274</v>
      </c>
      <c r="I158" t="s">
        <v>369</v>
      </c>
      <c r="J158">
        <v>1</v>
      </c>
      <c r="K158">
        <v>3709.41780821918</v>
      </c>
    </row>
    <row r="159" spans="1:11">
      <c r="A159" t="s">
        <v>306</v>
      </c>
      <c r="B159">
        <v>266.652397260274</v>
      </c>
      <c r="E159" t="s">
        <v>525</v>
      </c>
      <c r="F159">
        <v>1</v>
      </c>
      <c r="G159">
        <v>266.652397260274</v>
      </c>
      <c r="I159" t="s">
        <v>336</v>
      </c>
      <c r="J159">
        <v>1</v>
      </c>
      <c r="K159">
        <v>3709.41780821918</v>
      </c>
    </row>
    <row r="160" spans="1:11">
      <c r="A160" t="s">
        <v>308</v>
      </c>
      <c r="B160">
        <v>1120.54794520548</v>
      </c>
      <c r="E160" t="s">
        <v>528</v>
      </c>
      <c r="F160">
        <v>1</v>
      </c>
      <c r="G160">
        <v>3709.41780821918</v>
      </c>
      <c r="I160" t="s">
        <v>372</v>
      </c>
      <c r="J160">
        <v>1</v>
      </c>
      <c r="K160">
        <v>3709.41780821918</v>
      </c>
    </row>
    <row r="161" spans="1:11">
      <c r="A161" t="s">
        <v>311</v>
      </c>
      <c r="B161">
        <v>2588.8698630137</v>
      </c>
      <c r="E161" t="s">
        <v>532</v>
      </c>
      <c r="F161">
        <v>1</v>
      </c>
      <c r="G161">
        <v>6143.70719178082</v>
      </c>
      <c r="I161" t="s">
        <v>339</v>
      </c>
      <c r="J161">
        <v>1</v>
      </c>
      <c r="K161">
        <v>1854.70890410959</v>
      </c>
    </row>
    <row r="162" spans="1:11">
      <c r="A162" t="s">
        <v>315</v>
      </c>
      <c r="B162">
        <v>7086.5154109589</v>
      </c>
      <c r="E162" t="s">
        <v>535</v>
      </c>
      <c r="F162">
        <v>1</v>
      </c>
      <c r="G162">
        <v>4907.2345890411</v>
      </c>
      <c r="I162" t="s">
        <v>294</v>
      </c>
      <c r="J162">
        <v>1</v>
      </c>
      <c r="K162">
        <v>2820.71917808219</v>
      </c>
    </row>
    <row r="163" spans="1:11">
      <c r="A163" t="s">
        <v>319</v>
      </c>
      <c r="B163">
        <v>3338.4845890411</v>
      </c>
      <c r="E163" t="s">
        <v>538</v>
      </c>
      <c r="F163">
        <v>1</v>
      </c>
      <c r="G163">
        <v>1352.39726027397</v>
      </c>
      <c r="I163" t="s">
        <v>112</v>
      </c>
      <c r="J163">
        <v>1</v>
      </c>
      <c r="K163">
        <v>1738.78424657534</v>
      </c>
    </row>
    <row r="164" spans="1:11">
      <c r="A164" t="s">
        <v>332</v>
      </c>
      <c r="B164">
        <v>490.753424657534</v>
      </c>
      <c r="E164" t="s">
        <v>541</v>
      </c>
      <c r="F164">
        <v>1</v>
      </c>
      <c r="G164">
        <v>3477.56849315068</v>
      </c>
      <c r="I164" t="s">
        <v>1032</v>
      </c>
      <c r="J164">
        <v>1</v>
      </c>
      <c r="K164">
        <v>2357.02054794521</v>
      </c>
    </row>
    <row r="165" spans="1:11">
      <c r="A165" t="s">
        <v>334</v>
      </c>
      <c r="B165">
        <v>266.652397260274</v>
      </c>
      <c r="E165" t="s">
        <v>544</v>
      </c>
      <c r="F165">
        <v>1</v>
      </c>
      <c r="G165">
        <v>266.652397260274</v>
      </c>
      <c r="I165" t="s">
        <v>619</v>
      </c>
      <c r="J165">
        <v>1</v>
      </c>
      <c r="K165">
        <v>5177.69691780822</v>
      </c>
    </row>
    <row r="166" spans="1:11">
      <c r="A166" t="s">
        <v>337</v>
      </c>
      <c r="B166">
        <v>5564.12671232877</v>
      </c>
      <c r="E166" t="s">
        <v>547</v>
      </c>
      <c r="F166">
        <v>1</v>
      </c>
      <c r="G166">
        <v>2550.21404109589</v>
      </c>
      <c r="I166" t="s">
        <v>815</v>
      </c>
      <c r="J166">
        <v>1</v>
      </c>
      <c r="K166">
        <v>7650.64212328767</v>
      </c>
    </row>
    <row r="167" spans="1:11">
      <c r="A167" t="s">
        <v>341</v>
      </c>
      <c r="B167">
        <v>266.652397260274</v>
      </c>
      <c r="E167" t="s">
        <v>550</v>
      </c>
      <c r="F167">
        <v>1</v>
      </c>
      <c r="G167">
        <v>1081.97773972603</v>
      </c>
      <c r="I167" t="s">
        <v>759</v>
      </c>
      <c r="J167">
        <v>1</v>
      </c>
      <c r="K167">
        <v>7650.64212328767</v>
      </c>
    </row>
    <row r="168" spans="1:11">
      <c r="A168" t="s">
        <v>343</v>
      </c>
      <c r="B168">
        <v>498.501712328767</v>
      </c>
      <c r="E168" t="s">
        <v>554</v>
      </c>
      <c r="F168">
        <v>1</v>
      </c>
      <c r="G168">
        <v>726.455479452055</v>
      </c>
      <c r="I168" t="s">
        <v>674</v>
      </c>
      <c r="J168">
        <v>2</v>
      </c>
      <c r="K168">
        <v>6027.82534246575</v>
      </c>
    </row>
    <row r="169" spans="1:11">
      <c r="A169" t="s">
        <v>353</v>
      </c>
      <c r="B169">
        <v>12016.8664383562</v>
      </c>
      <c r="E169" t="s">
        <v>557</v>
      </c>
      <c r="F169">
        <v>1</v>
      </c>
      <c r="G169">
        <v>266.652397260274</v>
      </c>
      <c r="I169" t="s">
        <v>861</v>
      </c>
      <c r="J169">
        <v>1</v>
      </c>
      <c r="K169">
        <v>68932.7397260274</v>
      </c>
    </row>
    <row r="170" spans="1:11">
      <c r="A170" t="s">
        <v>357</v>
      </c>
      <c r="B170">
        <v>1738.78424657534</v>
      </c>
      <c r="E170" t="s">
        <v>560</v>
      </c>
      <c r="F170">
        <v>1</v>
      </c>
      <c r="G170">
        <v>19397.0462328767</v>
      </c>
      <c r="I170" t="s">
        <v>359</v>
      </c>
      <c r="J170">
        <v>2</v>
      </c>
      <c r="K170">
        <v>7882.44863013699</v>
      </c>
    </row>
    <row r="171" spans="1:11">
      <c r="A171" t="s">
        <v>361</v>
      </c>
      <c r="B171">
        <v>266.652397260274</v>
      </c>
      <c r="E171" t="s">
        <v>563</v>
      </c>
      <c r="F171">
        <v>1</v>
      </c>
      <c r="G171">
        <v>1120.54794520548</v>
      </c>
      <c r="I171" t="s">
        <v>1072</v>
      </c>
      <c r="J171">
        <v>1</v>
      </c>
      <c r="K171">
        <v>966.010273972603</v>
      </c>
    </row>
    <row r="172" spans="1:11">
      <c r="A172" t="s">
        <v>364</v>
      </c>
      <c r="B172">
        <v>494.606164383562</v>
      </c>
      <c r="E172" t="s">
        <v>566</v>
      </c>
      <c r="F172">
        <v>1</v>
      </c>
      <c r="G172">
        <v>494.606164383562</v>
      </c>
      <c r="I172" t="s">
        <v>907</v>
      </c>
      <c r="J172">
        <v>1</v>
      </c>
      <c r="K172">
        <v>2704.79452054795</v>
      </c>
    </row>
    <row r="173" spans="1:11">
      <c r="A173" t="s">
        <v>367</v>
      </c>
      <c r="B173">
        <v>231.849315068493</v>
      </c>
      <c r="E173" t="s">
        <v>569</v>
      </c>
      <c r="F173">
        <v>1</v>
      </c>
      <c r="G173">
        <v>3941.26712328767</v>
      </c>
      <c r="I173" t="s">
        <v>1049</v>
      </c>
      <c r="J173">
        <v>1</v>
      </c>
      <c r="K173">
        <v>2357.02054794521</v>
      </c>
    </row>
    <row r="174" spans="1:11">
      <c r="A174" t="s">
        <v>370</v>
      </c>
      <c r="B174">
        <v>7418.83561643836</v>
      </c>
      <c r="E174" t="s">
        <v>573</v>
      </c>
      <c r="F174">
        <v>1</v>
      </c>
      <c r="G174">
        <v>3593.49315068493</v>
      </c>
      <c r="I174" t="s">
        <v>471</v>
      </c>
      <c r="J174">
        <v>1</v>
      </c>
      <c r="K174">
        <v>2936.60102739726</v>
      </c>
    </row>
    <row r="175" spans="1:11">
      <c r="A175" t="s">
        <v>374</v>
      </c>
      <c r="B175">
        <v>1120.54794520548</v>
      </c>
      <c r="E175" t="s">
        <v>577</v>
      </c>
      <c r="F175">
        <v>1</v>
      </c>
      <c r="G175">
        <v>738.013698630137</v>
      </c>
      <c r="I175" t="s">
        <v>1082</v>
      </c>
      <c r="J175">
        <v>1</v>
      </c>
      <c r="K175">
        <v>1275.12842465753</v>
      </c>
    </row>
    <row r="176" spans="1:11">
      <c r="A176" t="s">
        <v>377</v>
      </c>
      <c r="B176">
        <v>363.227739726027</v>
      </c>
      <c r="E176" t="s">
        <v>580</v>
      </c>
      <c r="F176">
        <v>1</v>
      </c>
      <c r="G176">
        <v>285.958904109589</v>
      </c>
      <c r="I176" t="s">
        <v>264</v>
      </c>
      <c r="J176">
        <v>1</v>
      </c>
      <c r="K176">
        <v>1584.24657534247</v>
      </c>
    </row>
    <row r="177" spans="1:11">
      <c r="A177" t="s">
        <v>379</v>
      </c>
      <c r="B177">
        <v>730.35102739726</v>
      </c>
      <c r="E177" t="s">
        <v>582</v>
      </c>
      <c r="F177">
        <v>1</v>
      </c>
      <c r="G177">
        <v>266.652397260274</v>
      </c>
      <c r="I177" t="s">
        <v>281</v>
      </c>
      <c r="J177">
        <v>1</v>
      </c>
      <c r="K177">
        <v>1429.66609589041</v>
      </c>
    </row>
    <row r="178" spans="1:11">
      <c r="A178" t="s">
        <v>381</v>
      </c>
      <c r="B178">
        <v>266.652397260274</v>
      </c>
      <c r="E178" t="s">
        <v>585</v>
      </c>
      <c r="F178">
        <v>1</v>
      </c>
      <c r="G178">
        <v>266.652397260274</v>
      </c>
      <c r="I178" t="s">
        <v>409</v>
      </c>
      <c r="J178">
        <v>1</v>
      </c>
      <c r="K178">
        <v>2936.60102739726</v>
      </c>
    </row>
    <row r="179" spans="1:11">
      <c r="A179" t="s">
        <v>390</v>
      </c>
      <c r="B179">
        <v>255.051369863014</v>
      </c>
      <c r="E179" t="s">
        <v>587</v>
      </c>
      <c r="F179">
        <v>1</v>
      </c>
      <c r="G179">
        <v>761.258561643836</v>
      </c>
      <c r="I179" t="s">
        <v>533</v>
      </c>
      <c r="J179">
        <v>1</v>
      </c>
      <c r="K179">
        <v>4907.2345890411</v>
      </c>
    </row>
    <row r="180" spans="1:11">
      <c r="A180" t="s">
        <v>399</v>
      </c>
      <c r="B180">
        <v>533.304794520548</v>
      </c>
      <c r="E180" t="s">
        <v>590</v>
      </c>
      <c r="F180">
        <v>1</v>
      </c>
      <c r="G180">
        <v>463.698630136986</v>
      </c>
      <c r="I180" t="s">
        <v>474</v>
      </c>
      <c r="J180">
        <v>1</v>
      </c>
      <c r="K180">
        <v>2434.28938356164</v>
      </c>
    </row>
    <row r="181" spans="1:11">
      <c r="A181" t="s">
        <v>404</v>
      </c>
      <c r="B181">
        <v>1120.54794520548</v>
      </c>
      <c r="E181" t="s">
        <v>592</v>
      </c>
      <c r="F181">
        <v>1</v>
      </c>
      <c r="G181">
        <v>1120.54794520548</v>
      </c>
      <c r="I181" t="s">
        <v>1105</v>
      </c>
      <c r="J181">
        <v>1</v>
      </c>
      <c r="K181">
        <v>2434.28938356164</v>
      </c>
    </row>
    <row r="182" spans="1:11">
      <c r="A182" t="s">
        <v>410</v>
      </c>
      <c r="B182">
        <v>4482.19178082192</v>
      </c>
      <c r="E182" t="s">
        <v>595</v>
      </c>
      <c r="F182">
        <v>1</v>
      </c>
      <c r="G182">
        <v>966.010273972603</v>
      </c>
      <c r="I182" t="s">
        <v>177</v>
      </c>
      <c r="J182">
        <v>1</v>
      </c>
      <c r="K182">
        <v>583.47602739726</v>
      </c>
    </row>
    <row r="183" spans="1:11">
      <c r="A183" t="s">
        <v>418</v>
      </c>
      <c r="B183">
        <v>297.559931506849</v>
      </c>
      <c r="E183" t="s">
        <v>597</v>
      </c>
      <c r="F183">
        <v>1</v>
      </c>
      <c r="G183">
        <v>5525.47089041096</v>
      </c>
      <c r="I183" t="s">
        <v>710</v>
      </c>
      <c r="J183">
        <v>1</v>
      </c>
      <c r="K183">
        <v>10973.6301369863</v>
      </c>
    </row>
    <row r="184" spans="1:11">
      <c r="A184" t="s">
        <v>423</v>
      </c>
      <c r="B184">
        <v>5564.12671232877</v>
      </c>
      <c r="E184" t="s">
        <v>600</v>
      </c>
      <c r="F184">
        <v>1</v>
      </c>
      <c r="G184">
        <v>7998.41609589041</v>
      </c>
      <c r="I184" t="s">
        <v>448</v>
      </c>
      <c r="J184">
        <v>1</v>
      </c>
      <c r="K184">
        <v>9582.57705479452</v>
      </c>
    </row>
    <row r="185" spans="1:11">
      <c r="A185" t="s">
        <v>427</v>
      </c>
      <c r="B185">
        <v>266.652397260274</v>
      </c>
      <c r="E185" t="s">
        <v>603</v>
      </c>
      <c r="F185">
        <v>1</v>
      </c>
      <c r="G185">
        <v>792.166095890411</v>
      </c>
      <c r="I185" t="s">
        <v>695</v>
      </c>
      <c r="J185">
        <v>1</v>
      </c>
      <c r="K185">
        <v>927.354452054794</v>
      </c>
    </row>
    <row r="186" spans="1:11">
      <c r="A186" t="s">
        <v>433</v>
      </c>
      <c r="B186">
        <v>2434.28938356164</v>
      </c>
      <c r="E186" t="s">
        <v>605</v>
      </c>
      <c r="F186">
        <v>1</v>
      </c>
      <c r="G186">
        <v>297.559931506849</v>
      </c>
      <c r="I186" t="s">
        <v>1118</v>
      </c>
      <c r="J186">
        <v>1</v>
      </c>
      <c r="K186">
        <v>768.96404109589</v>
      </c>
    </row>
    <row r="187" spans="1:11">
      <c r="A187" t="s">
        <v>435</v>
      </c>
      <c r="B187">
        <v>266.652397260274</v>
      </c>
      <c r="E187" t="s">
        <v>608</v>
      </c>
      <c r="F187">
        <v>1</v>
      </c>
      <c r="G187">
        <v>6491.48116438356</v>
      </c>
      <c r="I187" t="s">
        <v>575</v>
      </c>
      <c r="J187">
        <v>1</v>
      </c>
      <c r="K187">
        <v>738.013698630137</v>
      </c>
    </row>
    <row r="188" spans="1:11">
      <c r="A188" t="s">
        <v>454</v>
      </c>
      <c r="B188">
        <v>231.849315068493</v>
      </c>
      <c r="E188" t="s">
        <v>611</v>
      </c>
      <c r="F188">
        <v>1</v>
      </c>
      <c r="G188">
        <v>1275.12842465753</v>
      </c>
      <c r="I188" t="s">
        <v>478</v>
      </c>
      <c r="J188">
        <v>1</v>
      </c>
      <c r="K188">
        <v>850.085616438356</v>
      </c>
    </row>
    <row r="189" spans="1:11">
      <c r="A189" t="s">
        <v>457</v>
      </c>
      <c r="B189">
        <v>3400.29965753425</v>
      </c>
      <c r="E189" t="s">
        <v>613</v>
      </c>
      <c r="F189">
        <v>1</v>
      </c>
      <c r="G189">
        <v>2202.48287671233</v>
      </c>
      <c r="I189" t="s">
        <v>620</v>
      </c>
      <c r="J189">
        <v>1</v>
      </c>
      <c r="K189">
        <v>2588.8698630137</v>
      </c>
    </row>
    <row r="190" spans="1:11">
      <c r="A190" t="s">
        <v>461</v>
      </c>
      <c r="B190">
        <v>266.652397260274</v>
      </c>
      <c r="E190" t="s">
        <v>615</v>
      </c>
      <c r="F190">
        <v>1</v>
      </c>
      <c r="G190">
        <v>595.119863013699</v>
      </c>
      <c r="I190" t="s">
        <v>267</v>
      </c>
      <c r="J190">
        <v>3</v>
      </c>
      <c r="K190">
        <v>1143.83561643836</v>
      </c>
    </row>
    <row r="191" spans="1:11">
      <c r="A191" t="s">
        <v>464</v>
      </c>
      <c r="B191">
        <v>2357.02054794521</v>
      </c>
      <c r="E191" t="s">
        <v>618</v>
      </c>
      <c r="F191">
        <v>1</v>
      </c>
      <c r="G191">
        <v>7611.98630136986</v>
      </c>
      <c r="I191" t="s">
        <v>475</v>
      </c>
      <c r="J191">
        <v>3</v>
      </c>
      <c r="K191">
        <v>1205.65068493151</v>
      </c>
    </row>
    <row r="192" spans="1:11">
      <c r="A192" t="s">
        <v>469</v>
      </c>
      <c r="B192">
        <v>1120.54794520548</v>
      </c>
      <c r="E192" t="s">
        <v>621</v>
      </c>
      <c r="F192">
        <v>1</v>
      </c>
      <c r="G192">
        <v>3554.8801369863</v>
      </c>
      <c r="I192" t="s">
        <v>191</v>
      </c>
      <c r="J192">
        <v>1</v>
      </c>
      <c r="K192">
        <v>1043.27910958904</v>
      </c>
    </row>
    <row r="193" spans="1:11">
      <c r="A193" t="s">
        <v>476</v>
      </c>
      <c r="B193">
        <v>266.652397260274</v>
      </c>
      <c r="E193" t="s">
        <v>625</v>
      </c>
      <c r="F193">
        <v>1</v>
      </c>
      <c r="G193">
        <v>2357.06335616438</v>
      </c>
      <c r="I193" t="s">
        <v>412</v>
      </c>
      <c r="J193">
        <v>2</v>
      </c>
      <c r="K193">
        <v>3091.18150684932</v>
      </c>
    </row>
    <row r="194" spans="1:11">
      <c r="A194" t="s">
        <v>482</v>
      </c>
      <c r="B194">
        <v>1236.47260273973</v>
      </c>
      <c r="E194" t="s">
        <v>628</v>
      </c>
      <c r="F194">
        <v>1</v>
      </c>
      <c r="G194">
        <v>297.559931506849</v>
      </c>
      <c r="I194" t="s">
        <v>468</v>
      </c>
      <c r="J194">
        <v>5</v>
      </c>
      <c r="K194">
        <v>5602.7397260274</v>
      </c>
    </row>
    <row r="195" spans="1:11">
      <c r="A195" t="s">
        <v>485</v>
      </c>
      <c r="B195">
        <v>463.698630136986</v>
      </c>
      <c r="E195" t="s">
        <v>630</v>
      </c>
      <c r="F195">
        <v>1</v>
      </c>
      <c r="G195">
        <v>4675.3852739726</v>
      </c>
      <c r="I195" t="s">
        <v>923</v>
      </c>
      <c r="J195">
        <v>1</v>
      </c>
      <c r="K195">
        <v>2820.71917808219</v>
      </c>
    </row>
    <row r="196" spans="1:11">
      <c r="A196" t="s">
        <v>493</v>
      </c>
      <c r="B196">
        <v>231.849315068493</v>
      </c>
      <c r="E196" t="s">
        <v>633</v>
      </c>
      <c r="F196">
        <v>1</v>
      </c>
      <c r="G196">
        <v>564.169520547945</v>
      </c>
      <c r="I196" t="s">
        <v>445</v>
      </c>
      <c r="J196">
        <v>2</v>
      </c>
      <c r="K196">
        <v>5641.43835616438</v>
      </c>
    </row>
    <row r="197" spans="1:11">
      <c r="A197" t="s">
        <v>495</v>
      </c>
      <c r="B197">
        <v>266.652397260274</v>
      </c>
      <c r="E197" t="s">
        <v>636</v>
      </c>
      <c r="F197">
        <v>1</v>
      </c>
      <c r="G197">
        <v>5911.90068493151</v>
      </c>
      <c r="I197" t="s">
        <v>447</v>
      </c>
      <c r="J197">
        <v>1</v>
      </c>
      <c r="K197">
        <v>2202.48287671233</v>
      </c>
    </row>
    <row r="198" spans="1:11">
      <c r="A198" t="s">
        <v>498</v>
      </c>
      <c r="B198">
        <v>2395.71917808219</v>
      </c>
      <c r="E198" t="s">
        <v>639</v>
      </c>
      <c r="F198">
        <v>1</v>
      </c>
      <c r="G198">
        <v>297.559931506849</v>
      </c>
      <c r="I198" t="s">
        <v>440</v>
      </c>
      <c r="J198">
        <v>1</v>
      </c>
      <c r="K198">
        <v>316.866438356164</v>
      </c>
    </row>
    <row r="199" spans="1:11">
      <c r="A199" t="s">
        <v>501</v>
      </c>
      <c r="B199">
        <v>463.698630136986</v>
      </c>
      <c r="E199" t="s">
        <v>642</v>
      </c>
      <c r="F199">
        <v>1</v>
      </c>
      <c r="G199">
        <v>7341.52397260274</v>
      </c>
      <c r="I199" t="s">
        <v>951</v>
      </c>
      <c r="J199">
        <v>2</v>
      </c>
      <c r="K199">
        <v>571.917808219178</v>
      </c>
    </row>
    <row r="200" spans="1:11">
      <c r="A200" t="s">
        <v>503</v>
      </c>
      <c r="B200">
        <v>266.652397260274</v>
      </c>
      <c r="E200" t="s">
        <v>646</v>
      </c>
      <c r="F200">
        <v>1</v>
      </c>
      <c r="G200">
        <v>2086.55821917808</v>
      </c>
      <c r="I200" t="s">
        <v>487</v>
      </c>
      <c r="J200">
        <v>1</v>
      </c>
      <c r="K200">
        <v>316.866438356164</v>
      </c>
    </row>
    <row r="201" spans="1:11">
      <c r="A201" t="s">
        <v>510</v>
      </c>
      <c r="B201">
        <v>231.849315068493</v>
      </c>
      <c r="E201" t="s">
        <v>649</v>
      </c>
      <c r="F201">
        <v>1</v>
      </c>
      <c r="G201">
        <v>1970.63356164384</v>
      </c>
      <c r="I201" t="s">
        <v>552</v>
      </c>
      <c r="J201">
        <v>1</v>
      </c>
      <c r="K201">
        <v>726.455479452055</v>
      </c>
    </row>
    <row r="202" spans="1:11">
      <c r="A202" t="s">
        <v>513</v>
      </c>
      <c r="B202">
        <v>12210.0599315068</v>
      </c>
      <c r="E202" t="s">
        <v>651</v>
      </c>
      <c r="F202">
        <v>1</v>
      </c>
      <c r="G202">
        <v>1545.59075342466</v>
      </c>
      <c r="I202" t="s">
        <v>389</v>
      </c>
      <c r="J202">
        <v>1</v>
      </c>
      <c r="K202">
        <v>255.051369863014</v>
      </c>
    </row>
    <row r="203" spans="1:11">
      <c r="A203" t="s">
        <v>516</v>
      </c>
      <c r="B203">
        <v>463.698630136986</v>
      </c>
      <c r="E203" t="s">
        <v>653</v>
      </c>
      <c r="F203">
        <v>1</v>
      </c>
      <c r="G203">
        <v>297.559931506849</v>
      </c>
      <c r="I203" t="s">
        <v>578</v>
      </c>
      <c r="J203">
        <v>1</v>
      </c>
      <c r="K203">
        <v>285.958904109589</v>
      </c>
    </row>
    <row r="204" spans="1:11">
      <c r="A204" t="s">
        <v>565</v>
      </c>
      <c r="B204">
        <v>494.606164383562</v>
      </c>
      <c r="E204" t="s">
        <v>655</v>
      </c>
      <c r="F204">
        <v>1</v>
      </c>
      <c r="G204">
        <v>1120.54794520548</v>
      </c>
      <c r="I204" t="s">
        <v>106</v>
      </c>
      <c r="J204">
        <v>2</v>
      </c>
      <c r="K204">
        <v>541.010273972603</v>
      </c>
    </row>
    <row r="205" spans="1:11">
      <c r="A205" t="s">
        <v>568</v>
      </c>
      <c r="B205">
        <v>7897.98801369863</v>
      </c>
      <c r="E205" t="s">
        <v>658</v>
      </c>
      <c r="F205">
        <v>1</v>
      </c>
      <c r="G205">
        <v>6738.78424657534</v>
      </c>
      <c r="I205" t="s">
        <v>413</v>
      </c>
      <c r="J205">
        <v>1</v>
      </c>
      <c r="K205">
        <v>664.640410958904</v>
      </c>
    </row>
    <row r="206" spans="1:11">
      <c r="A206" t="s">
        <v>562</v>
      </c>
      <c r="B206">
        <v>1120.54794520548</v>
      </c>
      <c r="E206" t="s">
        <v>661</v>
      </c>
      <c r="F206">
        <v>1</v>
      </c>
      <c r="G206">
        <v>3941.22431506849</v>
      </c>
      <c r="I206" t="s">
        <v>185</v>
      </c>
      <c r="J206">
        <v>2</v>
      </c>
      <c r="K206">
        <v>695.547945205479</v>
      </c>
    </row>
    <row r="207" spans="1:11">
      <c r="A207" t="s">
        <v>559</v>
      </c>
      <c r="B207">
        <v>19397.0462328767</v>
      </c>
      <c r="E207" t="s">
        <v>664</v>
      </c>
      <c r="F207">
        <v>1</v>
      </c>
      <c r="G207">
        <v>332.320205479452</v>
      </c>
      <c r="I207" t="s">
        <v>1069</v>
      </c>
      <c r="J207">
        <v>1</v>
      </c>
      <c r="K207">
        <v>316.866438356164</v>
      </c>
    </row>
    <row r="208" spans="1:11">
      <c r="A208" t="s">
        <v>546</v>
      </c>
      <c r="B208">
        <v>2550.21404109589</v>
      </c>
      <c r="E208" t="s">
        <v>666</v>
      </c>
      <c r="F208">
        <v>1</v>
      </c>
      <c r="G208">
        <v>3941.22431506849</v>
      </c>
      <c r="I208" t="s">
        <v>274</v>
      </c>
      <c r="J208">
        <v>2</v>
      </c>
      <c r="K208">
        <v>1236.47260273973</v>
      </c>
    </row>
    <row r="209" spans="1:11">
      <c r="A209" t="s">
        <v>543</v>
      </c>
      <c r="B209">
        <v>266.652397260274</v>
      </c>
      <c r="E209" t="s">
        <v>668</v>
      </c>
      <c r="F209">
        <v>1</v>
      </c>
      <c r="G209">
        <v>3941.22431506849</v>
      </c>
      <c r="I209" t="s">
        <v>220</v>
      </c>
      <c r="J209">
        <v>1</v>
      </c>
      <c r="K209">
        <v>26429.3664383562</v>
      </c>
    </row>
    <row r="210" spans="1:11">
      <c r="A210" t="s">
        <v>540</v>
      </c>
      <c r="B210">
        <v>3477.56849315068</v>
      </c>
      <c r="E210" t="s">
        <v>671</v>
      </c>
      <c r="F210">
        <v>1</v>
      </c>
      <c r="G210">
        <v>8577.95376712329</v>
      </c>
      <c r="I210" t="s">
        <v>301</v>
      </c>
      <c r="J210">
        <v>1</v>
      </c>
      <c r="K210">
        <v>7882.44863013699</v>
      </c>
    </row>
    <row r="211" spans="1:11">
      <c r="A211" t="s">
        <v>537</v>
      </c>
      <c r="B211">
        <v>1352.39726027397</v>
      </c>
      <c r="E211" t="s">
        <v>673</v>
      </c>
      <c r="F211">
        <v>1</v>
      </c>
      <c r="G211">
        <v>6414.21232876712</v>
      </c>
      <c r="I211" t="s">
        <v>679</v>
      </c>
      <c r="J211">
        <v>1</v>
      </c>
      <c r="K211">
        <v>14142.0376712329</v>
      </c>
    </row>
    <row r="212" spans="1:11">
      <c r="A212" t="s">
        <v>534</v>
      </c>
      <c r="B212">
        <v>4907.2345890411</v>
      </c>
      <c r="E212" t="s">
        <v>677</v>
      </c>
      <c r="F212">
        <v>1</v>
      </c>
      <c r="G212">
        <v>31375.2568493151</v>
      </c>
      <c r="I212" t="s">
        <v>392</v>
      </c>
      <c r="J212">
        <v>1</v>
      </c>
      <c r="K212">
        <v>13291.9948630137</v>
      </c>
    </row>
    <row r="213" spans="1:11">
      <c r="A213" t="s">
        <v>524</v>
      </c>
      <c r="B213">
        <v>266.652397260274</v>
      </c>
      <c r="E213" t="s">
        <v>681</v>
      </c>
      <c r="F213">
        <v>1</v>
      </c>
      <c r="G213">
        <v>14142.0376712329</v>
      </c>
      <c r="I213" t="s">
        <v>762</v>
      </c>
      <c r="J213">
        <v>1</v>
      </c>
      <c r="K213">
        <v>7341.52397260274</v>
      </c>
    </row>
    <row r="214" spans="1:11">
      <c r="A214" t="s">
        <v>521</v>
      </c>
      <c r="B214">
        <v>266.652397260274</v>
      </c>
      <c r="E214" t="s">
        <v>683</v>
      </c>
      <c r="F214">
        <v>1</v>
      </c>
      <c r="G214">
        <v>3168.45034246575</v>
      </c>
      <c r="I214" t="s">
        <v>317</v>
      </c>
      <c r="J214">
        <v>1</v>
      </c>
      <c r="K214">
        <v>6452.82534246575</v>
      </c>
    </row>
    <row r="215" spans="1:11">
      <c r="A215" t="s">
        <v>518</v>
      </c>
      <c r="B215">
        <v>1120.54794520548</v>
      </c>
      <c r="E215" t="s">
        <v>686</v>
      </c>
      <c r="F215">
        <v>1</v>
      </c>
      <c r="G215">
        <v>6839.21232876712</v>
      </c>
      <c r="I215" t="s">
        <v>682</v>
      </c>
      <c r="J215">
        <v>1</v>
      </c>
      <c r="K215">
        <v>3168.45034246575</v>
      </c>
    </row>
    <row r="216" spans="1:11">
      <c r="A216" t="s">
        <v>986</v>
      </c>
      <c r="B216">
        <v>494.606164383562</v>
      </c>
      <c r="E216" t="s">
        <v>688</v>
      </c>
      <c r="F216">
        <v>1</v>
      </c>
      <c r="G216">
        <v>297.559931506849</v>
      </c>
      <c r="I216" t="s">
        <v>456</v>
      </c>
      <c r="J216">
        <v>1</v>
      </c>
      <c r="K216">
        <v>3400.29965753425</v>
      </c>
    </row>
    <row r="217" spans="1:11">
      <c r="A217" t="s">
        <v>113</v>
      </c>
      <c r="B217">
        <v>1738.78424657534</v>
      </c>
      <c r="E217" t="s">
        <v>691</v>
      </c>
      <c r="F217">
        <v>1</v>
      </c>
      <c r="G217">
        <v>297.559931506849</v>
      </c>
      <c r="I217" t="s">
        <v>720</v>
      </c>
      <c r="J217">
        <v>1</v>
      </c>
      <c r="K217">
        <v>2163.82705479452</v>
      </c>
    </row>
    <row r="218" spans="1:11">
      <c r="A218" t="s">
        <v>641</v>
      </c>
      <c r="B218">
        <v>7341.52397260274</v>
      </c>
      <c r="E218" t="s">
        <v>694</v>
      </c>
      <c r="F218">
        <v>1</v>
      </c>
      <c r="G218">
        <v>2588.8698630137</v>
      </c>
      <c r="I218" t="s">
        <v>558</v>
      </c>
      <c r="J218">
        <v>1</v>
      </c>
      <c r="K218">
        <v>9737.15753424657</v>
      </c>
    </row>
    <row r="219" spans="1:11">
      <c r="A219" t="s">
        <v>599</v>
      </c>
      <c r="B219">
        <v>7998.41609589041</v>
      </c>
      <c r="E219" t="s">
        <v>697</v>
      </c>
      <c r="F219">
        <v>1</v>
      </c>
      <c r="G219">
        <v>927.354452054794</v>
      </c>
      <c r="I219" t="s">
        <v>902</v>
      </c>
      <c r="J219">
        <v>1</v>
      </c>
      <c r="K219">
        <v>4173.07363013699</v>
      </c>
    </row>
    <row r="220" spans="1:11">
      <c r="A220" t="s">
        <v>1070</v>
      </c>
      <c r="B220">
        <v>316.866438356164</v>
      </c>
      <c r="E220" t="s">
        <v>699</v>
      </c>
      <c r="F220">
        <v>1</v>
      </c>
      <c r="G220">
        <v>3748.07363013699</v>
      </c>
      <c r="I220" t="s">
        <v>749</v>
      </c>
      <c r="J220">
        <v>1</v>
      </c>
      <c r="K220">
        <v>3168.45034246575</v>
      </c>
    </row>
    <row r="221" spans="1:11">
      <c r="A221" t="s">
        <v>768</v>
      </c>
      <c r="B221">
        <v>297.559931506849</v>
      </c>
      <c r="E221" t="s">
        <v>702</v>
      </c>
      <c r="F221">
        <v>1</v>
      </c>
      <c r="G221">
        <v>4907.2345890411</v>
      </c>
      <c r="I221" t="s">
        <v>545</v>
      </c>
      <c r="J221">
        <v>1</v>
      </c>
      <c r="K221">
        <v>2550.21404109589</v>
      </c>
    </row>
    <row r="222" spans="1:11">
      <c r="A222" t="s">
        <v>1106</v>
      </c>
      <c r="B222">
        <v>2434.28938356164</v>
      </c>
      <c r="E222" t="s">
        <v>704</v>
      </c>
      <c r="F222">
        <v>1</v>
      </c>
      <c r="G222">
        <v>297.559931506849</v>
      </c>
      <c r="I222" t="s">
        <v>793</v>
      </c>
      <c r="J222">
        <v>1</v>
      </c>
      <c r="K222">
        <v>2009.28938356164</v>
      </c>
    </row>
    <row r="223" spans="1:11">
      <c r="A223" t="s">
        <v>1111</v>
      </c>
      <c r="B223">
        <v>564.169520547945</v>
      </c>
      <c r="E223" t="s">
        <v>707</v>
      </c>
      <c r="F223">
        <v>1</v>
      </c>
      <c r="G223">
        <v>1120.54794520548</v>
      </c>
      <c r="I223" t="s">
        <v>796</v>
      </c>
      <c r="J223">
        <v>1</v>
      </c>
      <c r="K223">
        <v>2009.28938356164</v>
      </c>
    </row>
    <row r="224" spans="1:11">
      <c r="A224" t="s">
        <v>862</v>
      </c>
      <c r="B224">
        <v>68932.7397260274</v>
      </c>
      <c r="E224" t="s">
        <v>709</v>
      </c>
      <c r="F224">
        <v>1</v>
      </c>
      <c r="G224">
        <v>1738.78424657534</v>
      </c>
      <c r="I224" t="s">
        <v>441</v>
      </c>
      <c r="J224">
        <v>1</v>
      </c>
      <c r="K224">
        <v>2666.13869863014</v>
      </c>
    </row>
    <row r="225" spans="1:11">
      <c r="A225" t="s">
        <v>285</v>
      </c>
      <c r="B225">
        <v>966.010273972603</v>
      </c>
      <c r="E225" t="s">
        <v>711</v>
      </c>
      <c r="F225">
        <v>1</v>
      </c>
      <c r="G225">
        <v>10973.6301369863</v>
      </c>
      <c r="I225" t="s">
        <v>970</v>
      </c>
      <c r="J225">
        <v>1</v>
      </c>
      <c r="K225">
        <v>3052.52568493151</v>
      </c>
    </row>
    <row r="226" spans="1:11">
      <c r="A226" t="s">
        <v>132</v>
      </c>
      <c r="B226">
        <v>266.652397260274</v>
      </c>
      <c r="E226" t="s">
        <v>714</v>
      </c>
      <c r="F226">
        <v>1</v>
      </c>
      <c r="G226">
        <v>297.559931506849</v>
      </c>
      <c r="I226" t="s">
        <v>1040</v>
      </c>
      <c r="J226">
        <v>1</v>
      </c>
      <c r="K226">
        <v>3052.52568493151</v>
      </c>
    </row>
    <row r="227" spans="1:11">
      <c r="A227" t="s">
        <v>217</v>
      </c>
      <c r="B227">
        <v>4057.14897260274</v>
      </c>
      <c r="E227" t="s">
        <v>716</v>
      </c>
      <c r="F227">
        <v>1</v>
      </c>
      <c r="G227">
        <v>5204.79452054795</v>
      </c>
      <c r="I227" t="s">
        <v>1066</v>
      </c>
      <c r="J227">
        <v>1</v>
      </c>
      <c r="K227">
        <v>3052.52568493151</v>
      </c>
    </row>
    <row r="228" spans="1:11">
      <c r="A228" t="s">
        <v>670</v>
      </c>
      <c r="B228">
        <v>8577.95376712329</v>
      </c>
      <c r="E228" t="s">
        <v>719</v>
      </c>
      <c r="F228">
        <v>1</v>
      </c>
      <c r="G228">
        <v>4443.53595890411</v>
      </c>
      <c r="I228" t="s">
        <v>1036</v>
      </c>
      <c r="J228">
        <v>1</v>
      </c>
      <c r="K228">
        <v>6955.13698630137</v>
      </c>
    </row>
    <row r="229" spans="1:11">
      <c r="A229" t="s">
        <v>553</v>
      </c>
      <c r="B229">
        <v>726.455479452055</v>
      </c>
      <c r="E229" t="s">
        <v>722</v>
      </c>
      <c r="F229">
        <v>1</v>
      </c>
      <c r="G229">
        <v>2163.82705479452</v>
      </c>
      <c r="I229" t="s">
        <v>451</v>
      </c>
      <c r="J229">
        <v>1</v>
      </c>
      <c r="K229">
        <v>6955.13698630137</v>
      </c>
    </row>
    <row r="230" spans="1:11">
      <c r="A230" t="s">
        <v>732</v>
      </c>
      <c r="B230">
        <v>2936.60102739726</v>
      </c>
      <c r="E230" t="s">
        <v>724</v>
      </c>
      <c r="F230">
        <v>1</v>
      </c>
      <c r="G230">
        <v>3013.91267123288</v>
      </c>
      <c r="I230" t="s">
        <v>908</v>
      </c>
      <c r="J230">
        <v>1</v>
      </c>
      <c r="K230">
        <v>10741.7808219178</v>
      </c>
    </row>
    <row r="231" spans="1:11">
      <c r="A231" t="s">
        <v>82</v>
      </c>
      <c r="B231">
        <v>266.652397260274</v>
      </c>
      <c r="E231" t="s">
        <v>726</v>
      </c>
      <c r="F231">
        <v>1</v>
      </c>
      <c r="G231">
        <v>1120.54794520548</v>
      </c>
      <c r="I231" t="s">
        <v>233</v>
      </c>
      <c r="J231">
        <v>1</v>
      </c>
      <c r="K231">
        <v>2782.06335616438</v>
      </c>
    </row>
    <row r="232" spans="1:11">
      <c r="A232" t="s">
        <v>810</v>
      </c>
      <c r="B232">
        <v>517.808219178082</v>
      </c>
      <c r="E232" t="s">
        <v>729</v>
      </c>
      <c r="F232">
        <v>1</v>
      </c>
      <c r="G232">
        <v>1058.77568493151</v>
      </c>
      <c r="I232" t="s">
        <v>999</v>
      </c>
      <c r="J232">
        <v>1</v>
      </c>
      <c r="K232">
        <v>3284.375</v>
      </c>
    </row>
    <row r="233" spans="1:11">
      <c r="A233" t="s">
        <v>549</v>
      </c>
      <c r="B233">
        <v>1081.97773972603</v>
      </c>
      <c r="E233" t="s">
        <v>733</v>
      </c>
      <c r="F233">
        <v>1</v>
      </c>
      <c r="G233">
        <v>2936.60102739726</v>
      </c>
      <c r="I233" t="s">
        <v>979</v>
      </c>
      <c r="J233">
        <v>1</v>
      </c>
      <c r="K233">
        <v>9118.92123287671</v>
      </c>
    </row>
    <row r="234" spans="1:11">
      <c r="A234" t="s">
        <v>556</v>
      </c>
      <c r="B234">
        <v>266.652397260274</v>
      </c>
      <c r="E234" t="s">
        <v>735</v>
      </c>
      <c r="F234">
        <v>1</v>
      </c>
      <c r="G234">
        <v>1738.78424657534</v>
      </c>
      <c r="I234" t="s">
        <v>765</v>
      </c>
      <c r="J234">
        <v>1</v>
      </c>
      <c r="K234">
        <v>4559.46061643836</v>
      </c>
    </row>
    <row r="235" spans="1:11">
      <c r="A235" t="s">
        <v>576</v>
      </c>
      <c r="B235">
        <v>738.013698630137</v>
      </c>
      <c r="E235" t="s">
        <v>737</v>
      </c>
      <c r="F235">
        <v>1</v>
      </c>
      <c r="G235">
        <v>1120.54794520548</v>
      </c>
      <c r="I235" t="s">
        <v>746</v>
      </c>
      <c r="J235">
        <v>1</v>
      </c>
      <c r="K235">
        <v>21638.0993150685</v>
      </c>
    </row>
    <row r="236" spans="1:11">
      <c r="A236" t="s">
        <v>581</v>
      </c>
      <c r="B236">
        <v>266.652397260274</v>
      </c>
      <c r="E236" t="s">
        <v>739</v>
      </c>
      <c r="F236">
        <v>1</v>
      </c>
      <c r="G236">
        <v>297.559931506849</v>
      </c>
      <c r="I236" t="s">
        <v>1012</v>
      </c>
      <c r="J236">
        <v>1</v>
      </c>
      <c r="K236">
        <v>25811.1729452055</v>
      </c>
    </row>
    <row r="237" spans="1:11">
      <c r="A237" t="s">
        <v>584</v>
      </c>
      <c r="B237">
        <v>266.652397260274</v>
      </c>
      <c r="E237" t="s">
        <v>742</v>
      </c>
      <c r="F237">
        <v>1</v>
      </c>
      <c r="G237">
        <v>2434.28938356164</v>
      </c>
      <c r="I237" t="s">
        <v>429</v>
      </c>
      <c r="J237">
        <v>1</v>
      </c>
      <c r="K237">
        <v>29365.9674657534</v>
      </c>
    </row>
    <row r="238" spans="1:11">
      <c r="A238" t="s">
        <v>586</v>
      </c>
      <c r="B238">
        <v>761.258561643836</v>
      </c>
      <c r="E238" t="s">
        <v>745</v>
      </c>
      <c r="F238">
        <v>1</v>
      </c>
      <c r="G238">
        <v>463.698630136986</v>
      </c>
      <c r="I238" t="s">
        <v>1043</v>
      </c>
      <c r="J238">
        <v>1</v>
      </c>
      <c r="K238">
        <v>91189.0410958904</v>
      </c>
    </row>
    <row r="239" spans="1:11">
      <c r="A239" t="s">
        <v>591</v>
      </c>
      <c r="B239">
        <v>1120.54794520548</v>
      </c>
      <c r="E239" t="s">
        <v>748</v>
      </c>
      <c r="F239">
        <v>1</v>
      </c>
      <c r="G239">
        <v>21638.0993150685</v>
      </c>
      <c r="I239" t="s">
        <v>1123</v>
      </c>
      <c r="J239">
        <v>1</v>
      </c>
      <c r="K239">
        <v>175422.988013699</v>
      </c>
    </row>
    <row r="240" spans="1:11">
      <c r="A240" t="s">
        <v>594</v>
      </c>
      <c r="B240">
        <v>966.010273972603</v>
      </c>
      <c r="E240" t="s">
        <v>751</v>
      </c>
      <c r="F240">
        <v>1</v>
      </c>
      <c r="G240">
        <v>3168.45034246575</v>
      </c>
      <c r="I240" t="s">
        <v>1023</v>
      </c>
      <c r="J240">
        <v>1</v>
      </c>
      <c r="K240">
        <v>4404.92294520548</v>
      </c>
    </row>
    <row r="241" spans="1:11">
      <c r="A241" t="s">
        <v>612</v>
      </c>
      <c r="B241">
        <v>2202.48287671233</v>
      </c>
      <c r="E241" t="s">
        <v>753</v>
      </c>
      <c r="F241">
        <v>1</v>
      </c>
      <c r="G241">
        <v>297.559931506849</v>
      </c>
      <c r="I241" t="s">
        <v>1061</v>
      </c>
      <c r="J241">
        <v>1</v>
      </c>
      <c r="K241">
        <v>5370.8904109589</v>
      </c>
    </row>
    <row r="242" spans="1:11">
      <c r="A242" t="s">
        <v>627</v>
      </c>
      <c r="B242">
        <v>297.559931506849</v>
      </c>
      <c r="E242" t="s">
        <v>755</v>
      </c>
      <c r="F242">
        <v>1</v>
      </c>
      <c r="G242">
        <v>1120.54794520548</v>
      </c>
      <c r="I242" t="s">
        <v>684</v>
      </c>
      <c r="J242">
        <v>1</v>
      </c>
      <c r="K242">
        <v>6839.21232876712</v>
      </c>
    </row>
    <row r="243" spans="1:11">
      <c r="A243" t="s">
        <v>632</v>
      </c>
      <c r="B243">
        <v>564.169520547945</v>
      </c>
      <c r="E243" t="s">
        <v>758</v>
      </c>
      <c r="F243">
        <v>1</v>
      </c>
      <c r="G243">
        <v>660.744863013699</v>
      </c>
      <c r="I243" t="s">
        <v>1003</v>
      </c>
      <c r="J243">
        <v>1</v>
      </c>
      <c r="K243">
        <v>10046.2756849315</v>
      </c>
    </row>
    <row r="244" spans="1:11">
      <c r="A244" t="s">
        <v>654</v>
      </c>
      <c r="B244">
        <v>1120.54794520548</v>
      </c>
      <c r="E244" t="s">
        <v>761</v>
      </c>
      <c r="F244">
        <v>1</v>
      </c>
      <c r="G244">
        <v>7650.64212328767</v>
      </c>
      <c r="I244" t="s">
        <v>778</v>
      </c>
      <c r="J244">
        <v>1</v>
      </c>
      <c r="K244">
        <v>16460.4023972603</v>
      </c>
    </row>
    <row r="245" spans="1:11">
      <c r="A245" t="s">
        <v>645</v>
      </c>
      <c r="B245">
        <v>2086.55821917808</v>
      </c>
      <c r="E245" t="s">
        <v>764</v>
      </c>
      <c r="F245">
        <v>1</v>
      </c>
      <c r="G245">
        <v>11900.9845890411</v>
      </c>
      <c r="I245" t="s">
        <v>385</v>
      </c>
      <c r="J245">
        <v>1</v>
      </c>
      <c r="K245">
        <v>3477.56849315068</v>
      </c>
    </row>
    <row r="246" spans="1:11">
      <c r="A246" t="s">
        <v>648</v>
      </c>
      <c r="B246">
        <v>1970.63356164384</v>
      </c>
      <c r="E246" t="s">
        <v>767</v>
      </c>
      <c r="F246">
        <v>1</v>
      </c>
      <c r="G246">
        <v>463.698630136986</v>
      </c>
      <c r="I246" t="s">
        <v>944</v>
      </c>
      <c r="J246">
        <v>1</v>
      </c>
      <c r="K246">
        <v>16614.9828767123</v>
      </c>
    </row>
    <row r="247" spans="1:11">
      <c r="A247" t="s">
        <v>1015</v>
      </c>
      <c r="B247">
        <v>1854.70890410959</v>
      </c>
      <c r="E247" t="s">
        <v>769</v>
      </c>
      <c r="F247">
        <v>1</v>
      </c>
      <c r="G247">
        <v>297.559931506849</v>
      </c>
      <c r="I247" t="s">
        <v>787</v>
      </c>
      <c r="J247">
        <v>1</v>
      </c>
      <c r="K247">
        <v>11360.0171232877</v>
      </c>
    </row>
    <row r="248" spans="1:11">
      <c r="A248" t="s">
        <v>650</v>
      </c>
      <c r="B248">
        <v>1545.59075342466</v>
      </c>
      <c r="E248" t="s">
        <v>772</v>
      </c>
      <c r="F248">
        <v>1</v>
      </c>
      <c r="G248">
        <v>2163.82705479452</v>
      </c>
      <c r="I248" t="s">
        <v>395</v>
      </c>
      <c r="J248">
        <v>1</v>
      </c>
      <c r="K248">
        <v>12519.1780821918</v>
      </c>
    </row>
    <row r="249" spans="1:11">
      <c r="A249" t="s">
        <v>652</v>
      </c>
      <c r="B249">
        <v>297.559931506849</v>
      </c>
      <c r="E249" t="s">
        <v>775</v>
      </c>
      <c r="F249">
        <v>1</v>
      </c>
      <c r="G249">
        <v>610.530821917808</v>
      </c>
      <c r="I249" t="s">
        <v>355</v>
      </c>
      <c r="J249">
        <v>1</v>
      </c>
      <c r="K249">
        <v>8577.95376712329</v>
      </c>
    </row>
    <row r="250" spans="1:11">
      <c r="A250" t="s">
        <v>663</v>
      </c>
      <c r="B250">
        <v>332.320205479452</v>
      </c>
      <c r="E250" t="s">
        <v>777</v>
      </c>
      <c r="F250">
        <v>1</v>
      </c>
      <c r="G250">
        <v>332.320205479452</v>
      </c>
      <c r="I250" t="s">
        <v>1038</v>
      </c>
      <c r="J250">
        <v>1</v>
      </c>
      <c r="K250">
        <v>11437.2859589041</v>
      </c>
    </row>
    <row r="251" spans="1:11">
      <c r="A251" t="s">
        <v>665</v>
      </c>
      <c r="B251">
        <v>3941.22431506849</v>
      </c>
      <c r="E251" t="s">
        <v>780</v>
      </c>
      <c r="F251">
        <v>1</v>
      </c>
      <c r="G251">
        <v>16460.4023972603</v>
      </c>
      <c r="I251" t="s">
        <v>406</v>
      </c>
      <c r="J251">
        <v>1</v>
      </c>
      <c r="K251">
        <v>8964.38356164384</v>
      </c>
    </row>
    <row r="252" spans="1:11">
      <c r="A252" t="s">
        <v>680</v>
      </c>
      <c r="B252">
        <v>14142.0376712329</v>
      </c>
      <c r="E252" t="s">
        <v>781</v>
      </c>
      <c r="F252">
        <v>1</v>
      </c>
      <c r="G252">
        <v>297.559931506849</v>
      </c>
      <c r="I252" t="s">
        <v>236</v>
      </c>
      <c r="J252">
        <v>1</v>
      </c>
      <c r="K252">
        <v>14064.7688356164</v>
      </c>
    </row>
    <row r="253" spans="1:11">
      <c r="A253" t="s">
        <v>685</v>
      </c>
      <c r="B253">
        <v>6839.21232876712</v>
      </c>
      <c r="E253" t="s">
        <v>783</v>
      </c>
      <c r="F253">
        <v>1</v>
      </c>
      <c r="G253">
        <v>297.559931506849</v>
      </c>
      <c r="I253" t="s">
        <v>911</v>
      </c>
      <c r="J253">
        <v>1</v>
      </c>
      <c r="K253">
        <v>4559.46061643836</v>
      </c>
    </row>
    <row r="254" spans="1:11">
      <c r="A254" t="s">
        <v>690</v>
      </c>
      <c r="B254">
        <v>297.559931506849</v>
      </c>
      <c r="E254" t="s">
        <v>786</v>
      </c>
      <c r="F254">
        <v>1</v>
      </c>
      <c r="G254">
        <v>2357.02054794521</v>
      </c>
      <c r="I254" t="s">
        <v>561</v>
      </c>
      <c r="J254">
        <v>1</v>
      </c>
      <c r="K254">
        <v>9659.88869863014</v>
      </c>
    </row>
    <row r="255" spans="1:11">
      <c r="A255" t="s">
        <v>696</v>
      </c>
      <c r="B255">
        <v>927.354452054794</v>
      </c>
      <c r="E255" t="s">
        <v>789</v>
      </c>
      <c r="F255">
        <v>1</v>
      </c>
      <c r="G255">
        <v>11360.0171232877</v>
      </c>
      <c r="I255" t="s">
        <v>1002</v>
      </c>
      <c r="J255">
        <v>1</v>
      </c>
      <c r="K255">
        <v>2395.67636986301</v>
      </c>
    </row>
    <row r="256" spans="1:11">
      <c r="A256" t="s">
        <v>698</v>
      </c>
      <c r="B256">
        <v>14721.7037671233</v>
      </c>
      <c r="E256" t="s">
        <v>792</v>
      </c>
      <c r="F256">
        <v>1</v>
      </c>
      <c r="G256">
        <v>2704.79452054795</v>
      </c>
      <c r="I256" t="s">
        <v>321</v>
      </c>
      <c r="J256">
        <v>1</v>
      </c>
      <c r="K256">
        <v>2395.67636986301</v>
      </c>
    </row>
    <row r="257" spans="1:11">
      <c r="A257" t="s">
        <v>708</v>
      </c>
      <c r="B257">
        <v>1738.78424657534</v>
      </c>
      <c r="E257" t="s">
        <v>795</v>
      </c>
      <c r="F257">
        <v>1</v>
      </c>
      <c r="G257">
        <v>4018.57876712329</v>
      </c>
      <c r="I257" t="s">
        <v>324</v>
      </c>
      <c r="J257">
        <v>1</v>
      </c>
      <c r="K257">
        <v>2395.67636986301</v>
      </c>
    </row>
    <row r="258" spans="1:11">
      <c r="A258" t="s">
        <v>718</v>
      </c>
      <c r="B258">
        <v>4443.53595890411</v>
      </c>
      <c r="E258" t="s">
        <v>798</v>
      </c>
      <c r="F258">
        <v>1</v>
      </c>
      <c r="G258">
        <v>2434.28938356164</v>
      </c>
      <c r="I258" t="s">
        <v>137</v>
      </c>
      <c r="J258">
        <v>2</v>
      </c>
      <c r="K258">
        <v>981.506849315069</v>
      </c>
    </row>
    <row r="259" spans="1:11">
      <c r="A259" t="s">
        <v>713</v>
      </c>
      <c r="B259">
        <v>297.559931506849</v>
      </c>
      <c r="E259" t="s">
        <v>799</v>
      </c>
      <c r="F259">
        <v>-1</v>
      </c>
      <c r="G259">
        <v>-2704.79452054795</v>
      </c>
      <c r="I259" t="s">
        <v>201</v>
      </c>
      <c r="J259">
        <v>1</v>
      </c>
      <c r="K259">
        <v>490.753424657534</v>
      </c>
    </row>
    <row r="260" spans="1:11">
      <c r="A260" t="s">
        <v>721</v>
      </c>
      <c r="B260">
        <v>2163.82705479452</v>
      </c>
      <c r="E260" t="s">
        <v>801</v>
      </c>
      <c r="F260">
        <v>1</v>
      </c>
      <c r="G260">
        <v>3338.4845890411</v>
      </c>
      <c r="I260" t="s">
        <v>809</v>
      </c>
      <c r="J260">
        <v>1</v>
      </c>
      <c r="K260">
        <v>517.808219178082</v>
      </c>
    </row>
    <row r="261" spans="1:11">
      <c r="A261" t="s">
        <v>723</v>
      </c>
      <c r="B261">
        <v>3013.91267123288</v>
      </c>
      <c r="E261" t="s">
        <v>804</v>
      </c>
      <c r="F261">
        <v>1</v>
      </c>
      <c r="G261">
        <v>4173.07363013699</v>
      </c>
      <c r="I261" t="s">
        <v>134</v>
      </c>
      <c r="J261">
        <v>1</v>
      </c>
      <c r="K261">
        <v>494.606164383562</v>
      </c>
    </row>
    <row r="262" spans="1:11">
      <c r="A262" t="s">
        <v>725</v>
      </c>
      <c r="B262">
        <v>1120.54794520548</v>
      </c>
      <c r="E262" t="s">
        <v>807</v>
      </c>
      <c r="F262">
        <v>1</v>
      </c>
      <c r="G262">
        <v>4211.72945205479</v>
      </c>
      <c r="I262" t="s">
        <v>131</v>
      </c>
      <c r="J262">
        <v>1</v>
      </c>
      <c r="K262">
        <v>266.652397260274</v>
      </c>
    </row>
    <row r="263" spans="1:11">
      <c r="A263" t="s">
        <v>734</v>
      </c>
      <c r="B263">
        <v>1738.78424657534</v>
      </c>
      <c r="E263" t="s">
        <v>811</v>
      </c>
      <c r="F263">
        <v>1</v>
      </c>
      <c r="G263">
        <v>517.808219178082</v>
      </c>
      <c r="I263" t="s">
        <v>841</v>
      </c>
      <c r="J263">
        <v>1</v>
      </c>
      <c r="K263">
        <v>297.559931506849</v>
      </c>
    </row>
    <row r="264" spans="1:11">
      <c r="A264" t="s">
        <v>736</v>
      </c>
      <c r="B264">
        <v>1120.54794520548</v>
      </c>
      <c r="E264" t="s">
        <v>814</v>
      </c>
      <c r="F264">
        <v>1</v>
      </c>
      <c r="G264">
        <v>1043.27910958904</v>
      </c>
      <c r="I264" t="s">
        <v>426</v>
      </c>
      <c r="J264">
        <v>1</v>
      </c>
      <c r="K264">
        <v>266.652397260274</v>
      </c>
    </row>
    <row r="265" spans="1:11">
      <c r="A265" t="s">
        <v>754</v>
      </c>
      <c r="B265">
        <v>1120.54794520548</v>
      </c>
      <c r="E265" t="s">
        <v>817</v>
      </c>
      <c r="F265">
        <v>1</v>
      </c>
      <c r="G265">
        <v>7650.64212328767</v>
      </c>
      <c r="I265" t="s">
        <v>548</v>
      </c>
      <c r="J265">
        <v>1</v>
      </c>
      <c r="K265">
        <v>517.808219178082</v>
      </c>
    </row>
    <row r="266" spans="1:11">
      <c r="A266" t="s">
        <v>757</v>
      </c>
      <c r="B266">
        <v>660.744863013699</v>
      </c>
      <c r="E266" t="s">
        <v>820</v>
      </c>
      <c r="F266">
        <v>1</v>
      </c>
      <c r="G266">
        <v>3516.22431506849</v>
      </c>
      <c r="I266" t="s">
        <v>122</v>
      </c>
      <c r="J266">
        <v>3</v>
      </c>
      <c r="K266">
        <v>761.258561643836</v>
      </c>
    </row>
    <row r="267" spans="1:11">
      <c r="A267" t="s">
        <v>766</v>
      </c>
      <c r="B267">
        <v>463.698630136986</v>
      </c>
      <c r="E267" t="s">
        <v>822</v>
      </c>
      <c r="F267">
        <v>1</v>
      </c>
      <c r="G267">
        <v>6375.51369863014</v>
      </c>
      <c r="I267" t="s">
        <v>278</v>
      </c>
      <c r="J267">
        <v>6</v>
      </c>
      <c r="K267">
        <v>1391.09589041096</v>
      </c>
    </row>
    <row r="268" spans="1:11">
      <c r="A268" t="s">
        <v>774</v>
      </c>
      <c r="B268">
        <v>610.530821917808</v>
      </c>
      <c r="E268" t="s">
        <v>826</v>
      </c>
      <c r="F268">
        <v>1</v>
      </c>
      <c r="G268">
        <v>529.366438356164</v>
      </c>
      <c r="I268" t="s">
        <v>77</v>
      </c>
      <c r="J268">
        <v>3</v>
      </c>
      <c r="K268">
        <v>799.957191780822</v>
      </c>
    </row>
    <row r="269" spans="1:11">
      <c r="A269" t="s">
        <v>776</v>
      </c>
      <c r="B269">
        <v>629.880136986301</v>
      </c>
      <c r="E269" t="s">
        <v>829</v>
      </c>
      <c r="F269">
        <v>1</v>
      </c>
      <c r="G269">
        <v>8268.87842465753</v>
      </c>
      <c r="I269" t="s">
        <v>289</v>
      </c>
      <c r="J269">
        <v>7</v>
      </c>
      <c r="K269">
        <v>1866.56678082192</v>
      </c>
    </row>
    <row r="270" spans="1:11">
      <c r="A270" t="s">
        <v>782</v>
      </c>
      <c r="B270">
        <v>297.559931506849</v>
      </c>
      <c r="E270" t="s">
        <v>833</v>
      </c>
      <c r="F270">
        <v>1</v>
      </c>
      <c r="G270">
        <v>297.559931506849</v>
      </c>
      <c r="I270" t="s">
        <v>773</v>
      </c>
      <c r="J270">
        <v>1</v>
      </c>
      <c r="K270">
        <v>610.530821917808</v>
      </c>
    </row>
    <row r="271" spans="1:11">
      <c r="A271" t="s">
        <v>785</v>
      </c>
      <c r="B271">
        <v>2357.02054794521</v>
      </c>
      <c r="E271" t="s">
        <v>835</v>
      </c>
      <c r="F271">
        <v>1</v>
      </c>
      <c r="G271">
        <v>363.227739726027</v>
      </c>
      <c r="I271" t="s">
        <v>1077</v>
      </c>
      <c r="J271">
        <v>1</v>
      </c>
      <c r="K271">
        <v>583.47602739726</v>
      </c>
    </row>
    <row r="272" spans="1:11">
      <c r="A272" t="s">
        <v>794</v>
      </c>
      <c r="B272">
        <v>4018.57876712329</v>
      </c>
      <c r="E272" t="s">
        <v>837</v>
      </c>
      <c r="F272">
        <v>1</v>
      </c>
      <c r="G272">
        <v>401.883561643836</v>
      </c>
      <c r="I272" t="s">
        <v>1019</v>
      </c>
      <c r="J272">
        <v>1</v>
      </c>
      <c r="K272">
        <v>583.47602739726</v>
      </c>
    </row>
    <row r="273" spans="1:11">
      <c r="A273" t="s">
        <v>813</v>
      </c>
      <c r="B273">
        <v>1043.27910958904</v>
      </c>
      <c r="E273" t="s">
        <v>840</v>
      </c>
      <c r="F273">
        <v>1</v>
      </c>
      <c r="G273">
        <v>2434.28938356164</v>
      </c>
      <c r="I273" t="s">
        <v>340</v>
      </c>
      <c r="J273">
        <v>6</v>
      </c>
      <c r="K273">
        <v>1599.91438356164</v>
      </c>
    </row>
    <row r="274" spans="1:11">
      <c r="A274" t="s">
        <v>816</v>
      </c>
      <c r="B274">
        <v>7650.64212328767</v>
      </c>
      <c r="E274" t="s">
        <v>843</v>
      </c>
      <c r="F274">
        <v>1</v>
      </c>
      <c r="G274">
        <v>297.559931506849</v>
      </c>
      <c r="I274" t="s">
        <v>1046</v>
      </c>
      <c r="J274">
        <v>2</v>
      </c>
      <c r="K274">
        <v>595.119863013699</v>
      </c>
    </row>
    <row r="275" spans="1:11">
      <c r="A275" t="s">
        <v>832</v>
      </c>
      <c r="B275">
        <v>297.559931506849</v>
      </c>
      <c r="E275" t="s">
        <v>846</v>
      </c>
      <c r="F275">
        <v>1</v>
      </c>
      <c r="G275">
        <v>2434.28938356164</v>
      </c>
      <c r="I275" t="s">
        <v>1056</v>
      </c>
      <c r="J275">
        <v>1</v>
      </c>
      <c r="K275">
        <v>347.77397260274</v>
      </c>
    </row>
    <row r="276" spans="1:11">
      <c r="A276" t="s">
        <v>836</v>
      </c>
      <c r="B276">
        <v>401.883561643836</v>
      </c>
      <c r="E276" t="s">
        <v>849</v>
      </c>
      <c r="F276">
        <v>1</v>
      </c>
      <c r="G276">
        <v>4520.84760273973</v>
      </c>
      <c r="I276" t="s">
        <v>416</v>
      </c>
      <c r="J276">
        <v>2</v>
      </c>
      <c r="K276">
        <v>664.640410958904</v>
      </c>
    </row>
    <row r="277" spans="1:11">
      <c r="A277" t="s">
        <v>842</v>
      </c>
      <c r="B277">
        <v>297.559931506849</v>
      </c>
      <c r="E277" t="s">
        <v>853</v>
      </c>
      <c r="F277">
        <v>1</v>
      </c>
      <c r="G277">
        <v>7264.2551369863</v>
      </c>
      <c r="I277" t="s">
        <v>251</v>
      </c>
      <c r="J277">
        <v>2</v>
      </c>
      <c r="K277">
        <v>602.825342465753</v>
      </c>
    </row>
    <row r="278" spans="1:11">
      <c r="A278" t="s">
        <v>848</v>
      </c>
      <c r="B278">
        <v>4520.84760273973</v>
      </c>
      <c r="E278" t="s">
        <v>857</v>
      </c>
      <c r="F278">
        <v>1</v>
      </c>
      <c r="G278">
        <v>494.606164383562</v>
      </c>
      <c r="I278" t="s">
        <v>712</v>
      </c>
      <c r="J278">
        <v>2</v>
      </c>
      <c r="K278">
        <v>595.119863013699</v>
      </c>
    </row>
    <row r="279" spans="1:11">
      <c r="A279" t="s">
        <v>856</v>
      </c>
      <c r="B279">
        <v>494.606164383562</v>
      </c>
      <c r="E279" t="s">
        <v>859</v>
      </c>
      <c r="F279">
        <v>1</v>
      </c>
      <c r="G279">
        <v>4443.57876712329</v>
      </c>
      <c r="I279" t="s">
        <v>140</v>
      </c>
      <c r="J279">
        <v>2</v>
      </c>
      <c r="K279">
        <v>533.304794520548</v>
      </c>
    </row>
    <row r="280" spans="1:11">
      <c r="A280" t="s">
        <v>864</v>
      </c>
      <c r="B280">
        <v>297.559931506849</v>
      </c>
      <c r="E280" t="s">
        <v>863</v>
      </c>
      <c r="F280">
        <v>1</v>
      </c>
      <c r="G280">
        <v>68932.7397260274</v>
      </c>
      <c r="I280" t="s">
        <v>505</v>
      </c>
      <c r="J280">
        <v>1</v>
      </c>
      <c r="K280">
        <v>2897.98801369863</v>
      </c>
    </row>
    <row r="281" spans="1:11">
      <c r="A281" t="s">
        <v>870</v>
      </c>
      <c r="B281">
        <v>1120.54794520548</v>
      </c>
      <c r="E281" t="s">
        <v>865</v>
      </c>
      <c r="F281">
        <v>1</v>
      </c>
      <c r="G281">
        <v>297.559931506849</v>
      </c>
      <c r="I281" t="s">
        <v>508</v>
      </c>
      <c r="J281">
        <v>1</v>
      </c>
      <c r="K281">
        <v>1661.5154109589</v>
      </c>
    </row>
    <row r="282" spans="1:11">
      <c r="A282" t="s">
        <v>875</v>
      </c>
      <c r="B282">
        <v>1120.54794520548</v>
      </c>
      <c r="E282" t="s">
        <v>867</v>
      </c>
      <c r="F282">
        <v>1</v>
      </c>
      <c r="G282">
        <v>297.559931506849</v>
      </c>
      <c r="I282" t="s">
        <v>509</v>
      </c>
      <c r="J282">
        <v>1</v>
      </c>
      <c r="K282">
        <v>2086.55821917808</v>
      </c>
    </row>
    <row r="283" spans="1:11">
      <c r="A283" t="s">
        <v>880</v>
      </c>
      <c r="B283">
        <v>2434.28938356164</v>
      </c>
      <c r="E283" t="s">
        <v>869</v>
      </c>
      <c r="F283">
        <v>1</v>
      </c>
      <c r="G283">
        <v>629.837328767123</v>
      </c>
      <c r="I283" t="s">
        <v>128</v>
      </c>
      <c r="J283">
        <v>1</v>
      </c>
      <c r="K283">
        <v>3438.91267123288</v>
      </c>
    </row>
    <row r="284" spans="1:11">
      <c r="A284" t="s">
        <v>884</v>
      </c>
      <c r="B284">
        <v>463.698630136986</v>
      </c>
      <c r="E284" t="s">
        <v>871</v>
      </c>
      <c r="F284">
        <v>1</v>
      </c>
      <c r="G284">
        <v>1120.54794520548</v>
      </c>
      <c r="I284" t="s">
        <v>622</v>
      </c>
      <c r="J284">
        <v>1</v>
      </c>
      <c r="K284">
        <v>966.010273972603</v>
      </c>
    </row>
    <row r="285" spans="1:11">
      <c r="A285" t="s">
        <v>890</v>
      </c>
      <c r="B285">
        <v>2086.55821917808</v>
      </c>
      <c r="E285" t="s">
        <v>874</v>
      </c>
      <c r="F285">
        <v>1</v>
      </c>
      <c r="G285">
        <v>2009.28938356164</v>
      </c>
      <c r="I285" t="s">
        <v>700</v>
      </c>
      <c r="J285">
        <v>1</v>
      </c>
      <c r="K285">
        <v>966.010273972603</v>
      </c>
    </row>
    <row r="286" spans="1:11">
      <c r="A286" t="s">
        <v>887</v>
      </c>
      <c r="B286">
        <v>8887.1147260274</v>
      </c>
      <c r="E286" t="s">
        <v>876</v>
      </c>
      <c r="F286">
        <v>1</v>
      </c>
      <c r="G286">
        <v>1120.54794520548</v>
      </c>
      <c r="I286" t="s">
        <v>593</v>
      </c>
      <c r="J286">
        <v>1</v>
      </c>
      <c r="K286">
        <v>966.010273972603</v>
      </c>
    </row>
    <row r="287" spans="1:11">
      <c r="A287" t="s">
        <v>896</v>
      </c>
      <c r="B287">
        <v>1081.93493150685</v>
      </c>
      <c r="E287" t="s">
        <v>877</v>
      </c>
      <c r="F287">
        <v>-1</v>
      </c>
      <c r="G287">
        <v>-1120.54794520548</v>
      </c>
      <c r="I287" t="s">
        <v>551</v>
      </c>
      <c r="J287">
        <v>1</v>
      </c>
      <c r="K287">
        <v>564.169520547945</v>
      </c>
    </row>
    <row r="288" spans="1:11">
      <c r="A288" t="s">
        <v>899</v>
      </c>
      <c r="B288">
        <v>3477.56849315068</v>
      </c>
      <c r="E288" t="s">
        <v>878</v>
      </c>
      <c r="F288">
        <v>1</v>
      </c>
      <c r="G288">
        <v>1120.54794520548</v>
      </c>
      <c r="I288" t="s">
        <v>459</v>
      </c>
      <c r="J288">
        <v>1</v>
      </c>
      <c r="K288">
        <v>564.169520547945</v>
      </c>
    </row>
    <row r="289" spans="1:11">
      <c r="A289" t="s">
        <v>903</v>
      </c>
      <c r="B289">
        <v>4173.07363013699</v>
      </c>
      <c r="E289" t="s">
        <v>881</v>
      </c>
      <c r="F289">
        <v>1</v>
      </c>
      <c r="G289">
        <v>2434.28938356164</v>
      </c>
      <c r="I289" t="s">
        <v>1006</v>
      </c>
      <c r="J289">
        <v>1</v>
      </c>
      <c r="K289">
        <v>1159.20376712329</v>
      </c>
    </row>
    <row r="290" spans="1:11">
      <c r="A290" t="s">
        <v>914</v>
      </c>
      <c r="B290">
        <v>4907.2345890411</v>
      </c>
      <c r="E290" t="s">
        <v>883</v>
      </c>
      <c r="F290">
        <v>1</v>
      </c>
      <c r="G290">
        <v>3554.83732876712</v>
      </c>
      <c r="I290" t="s">
        <v>976</v>
      </c>
      <c r="J290">
        <v>1</v>
      </c>
      <c r="K290">
        <v>1159.20376712329</v>
      </c>
    </row>
    <row r="291" spans="1:11">
      <c r="A291" t="s">
        <v>916</v>
      </c>
      <c r="B291">
        <v>2820.71917808219</v>
      </c>
      <c r="E291" t="s">
        <v>885</v>
      </c>
      <c r="F291">
        <v>1</v>
      </c>
      <c r="G291">
        <v>463.698630136986</v>
      </c>
      <c r="I291" t="s">
        <v>985</v>
      </c>
      <c r="J291">
        <v>1</v>
      </c>
      <c r="K291">
        <v>494.606164383562</v>
      </c>
    </row>
    <row r="292" spans="1:11">
      <c r="A292" t="s">
        <v>919</v>
      </c>
      <c r="B292">
        <v>2936.60102739726</v>
      </c>
      <c r="E292" t="s">
        <v>888</v>
      </c>
      <c r="F292">
        <v>1</v>
      </c>
      <c r="G292">
        <v>8887.1147260274</v>
      </c>
      <c r="I292" t="s">
        <v>855</v>
      </c>
      <c r="J292">
        <v>1</v>
      </c>
      <c r="K292">
        <v>494.606164383562</v>
      </c>
    </row>
    <row r="293" spans="1:11">
      <c r="A293" t="s">
        <v>921</v>
      </c>
      <c r="B293">
        <v>3941.26712328767</v>
      </c>
      <c r="E293" t="s">
        <v>891</v>
      </c>
      <c r="F293">
        <v>1</v>
      </c>
      <c r="G293">
        <v>2086.55821917808</v>
      </c>
      <c r="I293" t="s">
        <v>824</v>
      </c>
      <c r="J293">
        <v>1</v>
      </c>
      <c r="K293">
        <v>529.366438356164</v>
      </c>
    </row>
    <row r="294" spans="1:11">
      <c r="A294" t="s">
        <v>925</v>
      </c>
      <c r="B294">
        <v>3091.18150684932</v>
      </c>
      <c r="E294" t="s">
        <v>894</v>
      </c>
      <c r="F294">
        <v>1</v>
      </c>
      <c r="G294">
        <v>7341.52397260274</v>
      </c>
      <c r="I294" t="s">
        <v>109</v>
      </c>
      <c r="J294">
        <v>1</v>
      </c>
      <c r="K294">
        <v>112.071917808219</v>
      </c>
    </row>
    <row r="295" spans="1:11">
      <c r="A295" t="s">
        <v>931</v>
      </c>
      <c r="B295">
        <v>5834.58904109589</v>
      </c>
      <c r="E295" t="s">
        <v>897</v>
      </c>
      <c r="F295">
        <v>1</v>
      </c>
      <c r="G295">
        <v>1081.93493150685</v>
      </c>
      <c r="I295" t="s">
        <v>756</v>
      </c>
      <c r="J295">
        <v>1</v>
      </c>
      <c r="K295">
        <v>660.744863013699</v>
      </c>
    </row>
    <row r="296" spans="1:11">
      <c r="A296" t="s">
        <v>934</v>
      </c>
      <c r="B296">
        <v>2256.59246575342</v>
      </c>
      <c r="E296" t="s">
        <v>900</v>
      </c>
      <c r="F296">
        <v>1</v>
      </c>
      <c r="G296">
        <v>3477.56849315068</v>
      </c>
      <c r="I296" t="s">
        <v>417</v>
      </c>
      <c r="J296">
        <v>3</v>
      </c>
      <c r="K296">
        <v>962.200342465753</v>
      </c>
    </row>
    <row r="297" spans="1:11">
      <c r="A297" t="s">
        <v>937</v>
      </c>
      <c r="B297">
        <v>297.559931506849</v>
      </c>
      <c r="E297" t="s">
        <v>904</v>
      </c>
      <c r="F297">
        <v>1</v>
      </c>
      <c r="G297">
        <v>4173.07363013699</v>
      </c>
      <c r="I297" t="s">
        <v>662</v>
      </c>
      <c r="J297">
        <v>2</v>
      </c>
      <c r="K297">
        <v>664.640410958904</v>
      </c>
    </row>
    <row r="298" spans="1:11">
      <c r="A298" t="s">
        <v>940</v>
      </c>
      <c r="B298">
        <v>3106.67808219178</v>
      </c>
      <c r="E298" t="s">
        <v>906</v>
      </c>
      <c r="F298">
        <v>1</v>
      </c>
      <c r="G298">
        <v>17789.6832191781</v>
      </c>
      <c r="I298" t="s">
        <v>325</v>
      </c>
      <c r="J298">
        <v>3</v>
      </c>
      <c r="K298">
        <v>799.957191780822</v>
      </c>
    </row>
    <row r="299" spans="1:11">
      <c r="A299" t="s">
        <v>942</v>
      </c>
      <c r="B299">
        <v>2936.60102739726</v>
      </c>
      <c r="E299" t="s">
        <v>910</v>
      </c>
      <c r="F299">
        <v>1</v>
      </c>
      <c r="G299">
        <v>297.559931506849</v>
      </c>
      <c r="I299" t="s">
        <v>349</v>
      </c>
      <c r="J299">
        <v>2</v>
      </c>
      <c r="K299">
        <v>927.397260273973</v>
      </c>
    </row>
    <row r="300" spans="1:11">
      <c r="A300" t="s">
        <v>945</v>
      </c>
      <c r="B300">
        <v>16614.9828767123</v>
      </c>
      <c r="E300" t="s">
        <v>912</v>
      </c>
      <c r="F300">
        <v>1</v>
      </c>
      <c r="G300">
        <v>4559.46061643836</v>
      </c>
      <c r="I300" t="s">
        <v>555</v>
      </c>
      <c r="J300">
        <v>2</v>
      </c>
      <c r="K300">
        <v>564.212328767123</v>
      </c>
    </row>
    <row r="301" spans="1:11">
      <c r="A301" t="s">
        <v>961</v>
      </c>
      <c r="B301">
        <v>1120.54794520548</v>
      </c>
      <c r="E301" t="s">
        <v>913</v>
      </c>
      <c r="F301">
        <v>1</v>
      </c>
      <c r="G301">
        <v>12210.0599315068</v>
      </c>
      <c r="I301" t="s">
        <v>738</v>
      </c>
      <c r="J301">
        <v>6</v>
      </c>
      <c r="K301">
        <v>1785.3595890411</v>
      </c>
    </row>
    <row r="302" spans="1:11">
      <c r="A302" t="s">
        <v>964</v>
      </c>
      <c r="B302">
        <v>2588.8698630137</v>
      </c>
      <c r="E302" t="s">
        <v>915</v>
      </c>
      <c r="F302">
        <v>1</v>
      </c>
      <c r="G302">
        <v>4907.2345890411</v>
      </c>
      <c r="I302" t="s">
        <v>66</v>
      </c>
      <c r="J302">
        <v>7</v>
      </c>
      <c r="K302">
        <v>1959.28938356164</v>
      </c>
    </row>
    <row r="303" spans="1:11">
      <c r="A303" t="s">
        <v>966</v>
      </c>
      <c r="B303">
        <v>2202.48287671233</v>
      </c>
      <c r="E303" t="s">
        <v>917</v>
      </c>
      <c r="F303">
        <v>1</v>
      </c>
      <c r="G303">
        <v>2820.71917808219</v>
      </c>
      <c r="I303" t="s">
        <v>376</v>
      </c>
      <c r="J303">
        <v>3</v>
      </c>
      <c r="K303">
        <v>1089.68321917808</v>
      </c>
    </row>
    <row r="304" spans="1:11">
      <c r="A304" t="s">
        <v>974</v>
      </c>
      <c r="B304">
        <v>2086.55821917808</v>
      </c>
      <c r="E304" t="s">
        <v>920</v>
      </c>
      <c r="F304">
        <v>1</v>
      </c>
      <c r="G304">
        <v>2936.60102739726</v>
      </c>
      <c r="I304" t="s">
        <v>484</v>
      </c>
      <c r="J304">
        <v>3</v>
      </c>
      <c r="K304">
        <v>1391.09589041096</v>
      </c>
    </row>
    <row r="305" spans="1:11">
      <c r="A305" t="s">
        <v>977</v>
      </c>
      <c r="B305">
        <v>1159.20376712329</v>
      </c>
      <c r="E305" t="s">
        <v>922</v>
      </c>
      <c r="F305">
        <v>1</v>
      </c>
      <c r="G305">
        <v>3941.26712328767</v>
      </c>
      <c r="I305" t="s">
        <v>515</v>
      </c>
      <c r="J305">
        <v>1</v>
      </c>
      <c r="K305">
        <v>463.698630136986</v>
      </c>
    </row>
    <row r="306" spans="1:11">
      <c r="A306" t="s">
        <v>980</v>
      </c>
      <c r="B306">
        <v>9118.92123287671</v>
      </c>
      <c r="E306" t="s">
        <v>926</v>
      </c>
      <c r="F306">
        <v>1</v>
      </c>
      <c r="G306">
        <v>1970.63356164384</v>
      </c>
      <c r="I306" t="s">
        <v>1115</v>
      </c>
      <c r="J306">
        <v>1</v>
      </c>
      <c r="K306">
        <v>332.320205479452</v>
      </c>
    </row>
    <row r="307" spans="1:11">
      <c r="A307" t="s">
        <v>1044</v>
      </c>
      <c r="B307">
        <v>4443.53595890411</v>
      </c>
      <c r="E307" t="s">
        <v>927</v>
      </c>
      <c r="F307">
        <v>1</v>
      </c>
      <c r="G307">
        <v>1120.54794520548</v>
      </c>
      <c r="I307" t="s">
        <v>242</v>
      </c>
      <c r="J307">
        <v>1</v>
      </c>
      <c r="K307">
        <v>1043.27910958904</v>
      </c>
    </row>
    <row r="308" spans="1:11">
      <c r="A308" t="s">
        <v>989</v>
      </c>
      <c r="B308">
        <v>3786.72945205479</v>
      </c>
      <c r="E308" t="s">
        <v>929</v>
      </c>
      <c r="F308">
        <v>1</v>
      </c>
      <c r="G308">
        <v>297.559931506849</v>
      </c>
      <c r="I308" t="s">
        <v>159</v>
      </c>
      <c r="J308">
        <v>3</v>
      </c>
      <c r="K308">
        <v>695.547945205479</v>
      </c>
    </row>
    <row r="309" spans="1:11">
      <c r="A309" t="s">
        <v>992</v>
      </c>
      <c r="B309">
        <v>1622.8595890411</v>
      </c>
      <c r="E309" t="s">
        <v>932</v>
      </c>
      <c r="F309">
        <v>1</v>
      </c>
      <c r="G309">
        <v>5834.58904109589</v>
      </c>
      <c r="I309" t="s">
        <v>81</v>
      </c>
      <c r="J309">
        <v>3</v>
      </c>
      <c r="K309">
        <v>799.957191780822</v>
      </c>
    </row>
    <row r="310" spans="1:11">
      <c r="A310" t="s">
        <v>994</v>
      </c>
      <c r="B310">
        <v>297.559931506849</v>
      </c>
      <c r="E310" t="s">
        <v>935</v>
      </c>
      <c r="F310">
        <v>1</v>
      </c>
      <c r="G310">
        <v>2256.59246575342</v>
      </c>
      <c r="I310" t="s">
        <v>80</v>
      </c>
      <c r="J310">
        <v>2</v>
      </c>
      <c r="K310">
        <v>564.212328767123</v>
      </c>
    </row>
    <row r="311" spans="1:11">
      <c r="A311" t="s">
        <v>996</v>
      </c>
      <c r="B311">
        <v>2936.60102739726</v>
      </c>
      <c r="E311" t="s">
        <v>938</v>
      </c>
      <c r="F311">
        <v>1</v>
      </c>
      <c r="G311">
        <v>297.559931506849</v>
      </c>
      <c r="I311" t="s">
        <v>583</v>
      </c>
      <c r="J311">
        <v>2</v>
      </c>
      <c r="K311">
        <v>564.212328767123</v>
      </c>
    </row>
    <row r="312" spans="1:11">
      <c r="A312" t="s">
        <v>1000</v>
      </c>
      <c r="B312">
        <v>5680.05136986301</v>
      </c>
      <c r="E312" t="s">
        <v>941</v>
      </c>
      <c r="F312">
        <v>1</v>
      </c>
      <c r="G312">
        <v>3106.67808219178</v>
      </c>
      <c r="I312" t="s">
        <v>1029</v>
      </c>
      <c r="J312">
        <v>2</v>
      </c>
      <c r="K312">
        <v>595.119863013699</v>
      </c>
    </row>
    <row r="313" spans="1:11">
      <c r="A313" t="s">
        <v>1004</v>
      </c>
      <c r="B313">
        <v>10046.2756849315</v>
      </c>
      <c r="E313" t="s">
        <v>943</v>
      </c>
      <c r="F313">
        <v>1</v>
      </c>
      <c r="G313">
        <v>2936.60102739726</v>
      </c>
      <c r="I313" t="s">
        <v>84</v>
      </c>
      <c r="J313">
        <v>3</v>
      </c>
      <c r="K313">
        <v>799.957191780822</v>
      </c>
    </row>
    <row r="314" spans="1:11">
      <c r="A314" t="s">
        <v>1013</v>
      </c>
      <c r="B314">
        <v>25811.1729452055</v>
      </c>
      <c r="E314" t="s">
        <v>946</v>
      </c>
      <c r="F314">
        <v>1</v>
      </c>
      <c r="G314">
        <v>16614.9828767123</v>
      </c>
      <c r="I314" t="s">
        <v>520</v>
      </c>
      <c r="J314">
        <v>3</v>
      </c>
      <c r="K314">
        <v>861.772260273973</v>
      </c>
    </row>
    <row r="315" spans="1:11">
      <c r="A315" t="s">
        <v>1020</v>
      </c>
      <c r="B315">
        <v>583.47602739726</v>
      </c>
      <c r="E315" t="s">
        <v>949</v>
      </c>
      <c r="F315">
        <v>1</v>
      </c>
      <c r="G315">
        <v>3941.26712328767</v>
      </c>
      <c r="I315" t="s">
        <v>60</v>
      </c>
      <c r="J315">
        <v>3</v>
      </c>
      <c r="K315">
        <v>695.547945205479</v>
      </c>
    </row>
    <row r="316" spans="1:11">
      <c r="A316" t="s">
        <v>1027</v>
      </c>
      <c r="B316">
        <v>2550.21404109589</v>
      </c>
      <c r="E316" t="s">
        <v>953</v>
      </c>
      <c r="F316">
        <v>1</v>
      </c>
      <c r="G316">
        <v>285.958904109589</v>
      </c>
      <c r="I316" t="s">
        <v>631</v>
      </c>
      <c r="J316">
        <v>2</v>
      </c>
      <c r="K316">
        <v>1128.33904109589</v>
      </c>
    </row>
    <row r="317" spans="1:11">
      <c r="A317" t="s">
        <v>1047</v>
      </c>
      <c r="B317">
        <v>297.559931506849</v>
      </c>
      <c r="E317" t="s">
        <v>955</v>
      </c>
      <c r="F317">
        <v>1</v>
      </c>
      <c r="G317">
        <v>3956.72089041096</v>
      </c>
      <c r="I317" t="s">
        <v>727</v>
      </c>
      <c r="J317">
        <v>2</v>
      </c>
      <c r="K317">
        <v>1128.33904109589</v>
      </c>
    </row>
    <row r="318" spans="1:11">
      <c r="A318" t="s">
        <v>1050</v>
      </c>
      <c r="B318">
        <v>2357.02054794521</v>
      </c>
      <c r="E318" t="s">
        <v>958</v>
      </c>
      <c r="F318">
        <v>1</v>
      </c>
      <c r="G318">
        <v>2086.55821917808</v>
      </c>
      <c r="I318" t="s">
        <v>564</v>
      </c>
      <c r="J318">
        <v>3</v>
      </c>
      <c r="K318">
        <v>1483.81849315068</v>
      </c>
    </row>
    <row r="319" spans="1:11">
      <c r="A319" t="s">
        <v>1052</v>
      </c>
      <c r="B319">
        <v>5370.8904109589</v>
      </c>
      <c r="E319" t="s">
        <v>960</v>
      </c>
      <c r="F319">
        <v>1</v>
      </c>
      <c r="G319">
        <v>3438.91267123288</v>
      </c>
      <c r="I319" t="s">
        <v>174</v>
      </c>
      <c r="J319">
        <v>1</v>
      </c>
      <c r="K319">
        <v>529.366438356164</v>
      </c>
    </row>
    <row r="320" spans="1:11">
      <c r="A320" t="s">
        <v>1054</v>
      </c>
      <c r="B320">
        <v>3941.22431506849</v>
      </c>
      <c r="E320" t="s">
        <v>962</v>
      </c>
      <c r="F320">
        <v>1</v>
      </c>
      <c r="G320">
        <v>1120.54794520548</v>
      </c>
      <c r="I320" t="s">
        <v>287</v>
      </c>
      <c r="J320">
        <v>1</v>
      </c>
      <c r="K320">
        <v>494.606164383562</v>
      </c>
    </row>
    <row r="321" spans="1:11">
      <c r="A321" t="s">
        <v>1059</v>
      </c>
      <c r="B321">
        <v>1236.47260273973</v>
      </c>
      <c r="E321" t="s">
        <v>965</v>
      </c>
      <c r="F321">
        <v>1</v>
      </c>
      <c r="G321">
        <v>2588.8698630137</v>
      </c>
      <c r="I321" t="s">
        <v>831</v>
      </c>
      <c r="J321">
        <v>2</v>
      </c>
      <c r="K321">
        <v>595.119863013699</v>
      </c>
    </row>
    <row r="322" spans="1:11">
      <c r="A322" t="s">
        <v>1062</v>
      </c>
      <c r="B322">
        <v>5370.8904109589</v>
      </c>
      <c r="E322" t="s">
        <v>967</v>
      </c>
      <c r="F322">
        <v>1</v>
      </c>
      <c r="G322">
        <v>2202.48287671233</v>
      </c>
      <c r="I322" t="s">
        <v>366</v>
      </c>
      <c r="J322">
        <v>3</v>
      </c>
      <c r="K322">
        <v>826.969178082192</v>
      </c>
    </row>
    <row r="323" spans="1:11">
      <c r="A323" t="s">
        <v>1067</v>
      </c>
      <c r="B323">
        <v>3052.52568493151</v>
      </c>
      <c r="E323" t="s">
        <v>969</v>
      </c>
      <c r="F323">
        <v>1</v>
      </c>
      <c r="G323">
        <v>633.732876712329</v>
      </c>
      <c r="I323" t="s">
        <v>363</v>
      </c>
      <c r="J323">
        <v>1</v>
      </c>
      <c r="K323">
        <v>494.606164383562</v>
      </c>
    </row>
    <row r="324" spans="1:11">
      <c r="A324" t="s">
        <v>1073</v>
      </c>
      <c r="B324">
        <v>966.010273972603</v>
      </c>
      <c r="E324" t="s">
        <v>972</v>
      </c>
      <c r="F324">
        <v>1</v>
      </c>
      <c r="G324">
        <v>3052.52568493151</v>
      </c>
      <c r="I324" t="s">
        <v>730</v>
      </c>
      <c r="J324">
        <v>1</v>
      </c>
      <c r="K324">
        <v>494.606164383562</v>
      </c>
    </row>
    <row r="325" spans="1:11">
      <c r="A325" t="s">
        <v>1078</v>
      </c>
      <c r="B325">
        <v>583.47602739726</v>
      </c>
      <c r="E325" t="s">
        <v>975</v>
      </c>
      <c r="F325">
        <v>1</v>
      </c>
      <c r="G325">
        <v>2086.55821917808</v>
      </c>
      <c r="I325" t="s">
        <v>523</v>
      </c>
      <c r="J325">
        <v>1</v>
      </c>
      <c r="K325">
        <v>266.652397260274</v>
      </c>
    </row>
    <row r="326" spans="1:11">
      <c r="A326" t="s">
        <v>1080</v>
      </c>
      <c r="B326">
        <v>297.559931506849</v>
      </c>
      <c r="E326" t="s">
        <v>978</v>
      </c>
      <c r="F326">
        <v>1</v>
      </c>
      <c r="G326">
        <v>1159.20376712329</v>
      </c>
      <c r="I326" t="s">
        <v>331</v>
      </c>
      <c r="J326">
        <v>1</v>
      </c>
      <c r="K326">
        <v>490.753424657534</v>
      </c>
    </row>
    <row r="327" spans="1:11">
      <c r="A327" t="s">
        <v>1086</v>
      </c>
      <c r="B327">
        <v>1352.39726027397</v>
      </c>
      <c r="E327" t="s">
        <v>981</v>
      </c>
      <c r="F327">
        <v>1</v>
      </c>
      <c r="G327">
        <v>9118.92123287671</v>
      </c>
      <c r="I327" t="s">
        <v>275</v>
      </c>
      <c r="J327">
        <v>2</v>
      </c>
      <c r="K327">
        <v>1259.67465753425</v>
      </c>
    </row>
    <row r="328" spans="1:11">
      <c r="A328" t="s">
        <v>1088</v>
      </c>
      <c r="B328">
        <v>2588.8698630137</v>
      </c>
      <c r="E328" t="s">
        <v>983</v>
      </c>
      <c r="F328">
        <v>1</v>
      </c>
      <c r="G328">
        <v>2086.55821917808</v>
      </c>
      <c r="I328" t="s">
        <v>623</v>
      </c>
      <c r="J328">
        <v>1</v>
      </c>
      <c r="K328">
        <v>1081.93493150685</v>
      </c>
    </row>
    <row r="329" spans="1:11">
      <c r="A329" t="s">
        <v>1091</v>
      </c>
      <c r="B329">
        <v>2434.28938356164</v>
      </c>
      <c r="E329" t="s">
        <v>987</v>
      </c>
      <c r="F329">
        <v>1</v>
      </c>
      <c r="G329">
        <v>494.606164383562</v>
      </c>
      <c r="I329" t="s">
        <v>895</v>
      </c>
      <c r="J329">
        <v>1</v>
      </c>
      <c r="K329">
        <v>1081.93493150685</v>
      </c>
    </row>
    <row r="330" spans="1:11">
      <c r="A330" t="s">
        <v>1093</v>
      </c>
      <c r="B330">
        <v>332.320205479452</v>
      </c>
      <c r="E330" t="s">
        <v>990</v>
      </c>
      <c r="F330">
        <v>1</v>
      </c>
      <c r="G330">
        <v>3323.03082191781</v>
      </c>
      <c r="I330" t="s">
        <v>610</v>
      </c>
      <c r="J330">
        <v>1</v>
      </c>
      <c r="K330">
        <v>1275.12842465753</v>
      </c>
    </row>
    <row r="331" spans="1:11">
      <c r="A331" t="s">
        <v>1095</v>
      </c>
      <c r="B331">
        <v>2357.02054794521</v>
      </c>
      <c r="E331" t="s">
        <v>993</v>
      </c>
      <c r="F331">
        <v>1</v>
      </c>
      <c r="G331">
        <v>1622.8595890411</v>
      </c>
      <c r="I331" t="s">
        <v>626</v>
      </c>
      <c r="J331">
        <v>1</v>
      </c>
      <c r="K331">
        <v>1275.12842465753</v>
      </c>
    </row>
    <row r="332" spans="1:11">
      <c r="A332" t="s">
        <v>1103</v>
      </c>
      <c r="B332">
        <v>1120.54794520548</v>
      </c>
      <c r="E332" t="s">
        <v>995</v>
      </c>
      <c r="F332">
        <v>1</v>
      </c>
      <c r="G332">
        <v>297.559931506849</v>
      </c>
      <c r="I332" t="s">
        <v>743</v>
      </c>
      <c r="J332">
        <v>3</v>
      </c>
      <c r="K332">
        <v>1391.09589041096</v>
      </c>
    </row>
    <row r="333" spans="1:11">
      <c r="A333" t="s">
        <v>1109</v>
      </c>
      <c r="B333">
        <v>2588.8698630137</v>
      </c>
      <c r="E333" t="s">
        <v>997</v>
      </c>
      <c r="F333">
        <v>1</v>
      </c>
      <c r="G333">
        <v>2936.60102739726</v>
      </c>
      <c r="I333" t="s">
        <v>588</v>
      </c>
      <c r="J333">
        <v>3</v>
      </c>
      <c r="K333">
        <v>861.772260273973</v>
      </c>
    </row>
    <row r="334" spans="1:11">
      <c r="A334" t="s">
        <v>1113</v>
      </c>
      <c r="B334">
        <v>297.559931506849</v>
      </c>
      <c r="E334" t="s">
        <v>998</v>
      </c>
      <c r="F334">
        <v>1</v>
      </c>
      <c r="G334">
        <v>463.698630136986</v>
      </c>
      <c r="I334" t="s">
        <v>689</v>
      </c>
      <c r="J334">
        <v>2</v>
      </c>
      <c r="K334">
        <v>595.119863013699</v>
      </c>
    </row>
    <row r="335" spans="1:11">
      <c r="A335" t="s">
        <v>1116</v>
      </c>
      <c r="B335">
        <v>896.489726027397</v>
      </c>
      <c r="E335" t="s">
        <v>1001</v>
      </c>
      <c r="F335">
        <v>1</v>
      </c>
      <c r="G335">
        <v>5680.05136986301</v>
      </c>
      <c r="I335" t="s">
        <v>214</v>
      </c>
      <c r="J335">
        <v>2</v>
      </c>
      <c r="K335">
        <v>3709.41780821918</v>
      </c>
    </row>
    <row r="336" spans="1:11">
      <c r="A336" t="s">
        <v>1119</v>
      </c>
      <c r="B336">
        <v>768.96404109589</v>
      </c>
      <c r="E336" t="s">
        <v>1005</v>
      </c>
      <c r="F336">
        <v>1</v>
      </c>
      <c r="G336">
        <v>10046.2756849315</v>
      </c>
      <c r="I336" t="s">
        <v>386</v>
      </c>
      <c r="J336">
        <v>1</v>
      </c>
      <c r="K336">
        <v>1854.70890410959</v>
      </c>
    </row>
    <row r="337" spans="1:11">
      <c r="A337" t="s">
        <v>1121</v>
      </c>
      <c r="B337">
        <v>1120.54794520548</v>
      </c>
      <c r="E337" t="s">
        <v>1008</v>
      </c>
      <c r="F337">
        <v>1</v>
      </c>
      <c r="G337">
        <v>1159.20376712329</v>
      </c>
      <c r="I337" t="s">
        <v>254</v>
      </c>
      <c r="J337">
        <v>1</v>
      </c>
      <c r="K337">
        <v>316.866438356164</v>
      </c>
    </row>
    <row r="338" spans="1:11">
      <c r="A338" t="s">
        <v>1126</v>
      </c>
      <c r="B338">
        <v>297.559931506849</v>
      </c>
      <c r="E338" t="s">
        <v>1011</v>
      </c>
      <c r="F338">
        <v>1</v>
      </c>
      <c r="G338">
        <v>1970.63356164384</v>
      </c>
      <c r="I338" t="s">
        <v>257</v>
      </c>
      <c r="J338">
        <v>1</v>
      </c>
      <c r="K338">
        <v>316.866438356164</v>
      </c>
    </row>
    <row r="339" spans="1:11">
      <c r="A339" t="s">
        <v>401</v>
      </c>
      <c r="B339">
        <v>231.849315068493</v>
      </c>
      <c r="E339" t="s">
        <v>1014</v>
      </c>
      <c r="F339">
        <v>1</v>
      </c>
      <c r="G339">
        <v>25811.1729452055</v>
      </c>
      <c r="I339" t="s">
        <v>129</v>
      </c>
      <c r="J339">
        <v>1</v>
      </c>
      <c r="K339">
        <v>316.866438356164</v>
      </c>
    </row>
    <row r="340" spans="1:11">
      <c r="A340" t="s">
        <v>202</v>
      </c>
      <c r="B340">
        <v>6016.22431506849</v>
      </c>
      <c r="E340" t="s">
        <v>1016</v>
      </c>
      <c r="F340">
        <v>1</v>
      </c>
      <c r="G340">
        <v>1854.70890410959</v>
      </c>
      <c r="I340" t="s">
        <v>130</v>
      </c>
      <c r="J340">
        <v>1</v>
      </c>
      <c r="K340">
        <v>316.866438356164</v>
      </c>
    </row>
    <row r="341" spans="1:11">
      <c r="E341" t="s">
        <v>1018</v>
      </c>
      <c r="F341">
        <v>1</v>
      </c>
      <c r="G341">
        <v>2434.28938356164</v>
      </c>
    </row>
    <row r="342" spans="1:11">
      <c r="E342" t="s">
        <v>1021</v>
      </c>
      <c r="F342">
        <v>1</v>
      </c>
      <c r="G342">
        <v>583.47602739726</v>
      </c>
    </row>
    <row r="343" spans="1:11">
      <c r="E343" t="s">
        <v>1022</v>
      </c>
      <c r="F343">
        <v>1</v>
      </c>
      <c r="G343">
        <v>2357.02054794521</v>
      </c>
    </row>
    <row r="344" spans="1:11">
      <c r="E344" t="s">
        <v>1025</v>
      </c>
      <c r="F344">
        <v>1</v>
      </c>
      <c r="G344">
        <v>4404.92294520548</v>
      </c>
    </row>
    <row r="345" spans="1:11">
      <c r="E345" t="s">
        <v>1028</v>
      </c>
      <c r="F345">
        <v>1</v>
      </c>
      <c r="G345">
        <v>2550.21404109589</v>
      </c>
    </row>
    <row r="346" spans="1:11">
      <c r="E346" t="s">
        <v>1031</v>
      </c>
      <c r="F346">
        <v>1</v>
      </c>
      <c r="G346">
        <v>297.559931506849</v>
      </c>
    </row>
    <row r="347" spans="1:11">
      <c r="E347" t="s">
        <v>1033</v>
      </c>
      <c r="F347">
        <v>1</v>
      </c>
      <c r="G347">
        <v>2357.02054794521</v>
      </c>
    </row>
    <row r="348" spans="1:11">
      <c r="E348" t="s">
        <v>1035</v>
      </c>
      <c r="F348">
        <v>1</v>
      </c>
      <c r="G348">
        <v>401.883561643836</v>
      </c>
    </row>
    <row r="349" spans="1:11">
      <c r="E349" t="s">
        <v>1037</v>
      </c>
      <c r="F349">
        <v>1</v>
      </c>
      <c r="G349">
        <v>6955.13698630137</v>
      </c>
    </row>
    <row r="350" spans="1:11">
      <c r="E350" t="s">
        <v>1039</v>
      </c>
      <c r="F350">
        <v>1</v>
      </c>
      <c r="G350">
        <v>11437.2859589041</v>
      </c>
    </row>
    <row r="351" spans="1:11">
      <c r="E351" t="s">
        <v>1042</v>
      </c>
      <c r="F351">
        <v>1</v>
      </c>
      <c r="G351">
        <v>94241.5667808219</v>
      </c>
    </row>
    <row r="352" spans="1:11">
      <c r="E352" t="s">
        <v>1045</v>
      </c>
      <c r="F352">
        <v>1</v>
      </c>
      <c r="G352">
        <v>4443.53595890411</v>
      </c>
    </row>
    <row r="353" spans="5:7">
      <c r="E353" t="s">
        <v>1048</v>
      </c>
      <c r="F353">
        <v>1</v>
      </c>
      <c r="G353">
        <v>297.559931506849</v>
      </c>
    </row>
    <row r="354" spans="5:7">
      <c r="E354" t="s">
        <v>1051</v>
      </c>
      <c r="F354">
        <v>1</v>
      </c>
      <c r="G354">
        <v>2357.02054794521</v>
      </c>
    </row>
    <row r="355" spans="5:7">
      <c r="E355" t="s">
        <v>1053</v>
      </c>
      <c r="F355">
        <v>1</v>
      </c>
      <c r="G355">
        <v>2936.60102739726</v>
      </c>
    </row>
    <row r="356" spans="5:7">
      <c r="E356" t="s">
        <v>1055</v>
      </c>
      <c r="F356">
        <v>1</v>
      </c>
      <c r="G356">
        <v>3941.22431506849</v>
      </c>
    </row>
    <row r="357" spans="5:7">
      <c r="E357" t="s">
        <v>1057</v>
      </c>
      <c r="F357">
        <v>1</v>
      </c>
      <c r="G357">
        <v>347.77397260274</v>
      </c>
    </row>
    <row r="358" spans="5:7">
      <c r="E358" t="s">
        <v>1060</v>
      </c>
      <c r="F358">
        <v>1</v>
      </c>
      <c r="G358">
        <v>1236.47260273973</v>
      </c>
    </row>
    <row r="359" spans="5:7">
      <c r="E359" t="s">
        <v>1063</v>
      </c>
      <c r="F359">
        <v>1</v>
      </c>
      <c r="G359">
        <v>5370.8904109589</v>
      </c>
    </row>
    <row r="360" spans="5:7">
      <c r="E360" t="s">
        <v>1065</v>
      </c>
      <c r="F360">
        <v>1</v>
      </c>
      <c r="G360">
        <v>2434.28938356164</v>
      </c>
    </row>
    <row r="361" spans="5:7">
      <c r="E361" t="s">
        <v>1068</v>
      </c>
      <c r="F361">
        <v>1</v>
      </c>
      <c r="G361">
        <v>3052.52568493151</v>
      </c>
    </row>
    <row r="362" spans="5:7">
      <c r="E362" t="s">
        <v>1071</v>
      </c>
      <c r="F362">
        <v>1</v>
      </c>
      <c r="G362">
        <v>316.866438356164</v>
      </c>
    </row>
    <row r="363" spans="5:7">
      <c r="E363" t="s">
        <v>1074</v>
      </c>
      <c r="F363">
        <v>1</v>
      </c>
      <c r="G363">
        <v>966.010273972603</v>
      </c>
    </row>
    <row r="364" spans="5:7">
      <c r="E364" t="s">
        <v>1075</v>
      </c>
      <c r="F364">
        <v>-1</v>
      </c>
      <c r="G364">
        <v>-966.010273972603</v>
      </c>
    </row>
    <row r="365" spans="5:7">
      <c r="E365" t="s">
        <v>1076</v>
      </c>
      <c r="F365">
        <v>1</v>
      </c>
      <c r="G365">
        <v>966.010273972603</v>
      </c>
    </row>
    <row r="366" spans="5:7">
      <c r="E366" t="s">
        <v>1079</v>
      </c>
      <c r="F366">
        <v>1</v>
      </c>
      <c r="G366">
        <v>583.47602739726</v>
      </c>
    </row>
    <row r="367" spans="5:7">
      <c r="E367" t="s">
        <v>1081</v>
      </c>
      <c r="F367">
        <v>1</v>
      </c>
      <c r="G367">
        <v>297.559931506849</v>
      </c>
    </row>
    <row r="368" spans="5:7">
      <c r="E368" t="s">
        <v>1084</v>
      </c>
      <c r="F368">
        <v>1</v>
      </c>
      <c r="G368">
        <v>1275.12842465753</v>
      </c>
    </row>
    <row r="369" spans="5:7">
      <c r="E369" t="s">
        <v>1087</v>
      </c>
      <c r="F369">
        <v>1</v>
      </c>
      <c r="G369">
        <v>1352.39726027397</v>
      </c>
    </row>
    <row r="370" spans="5:7">
      <c r="E370" t="s">
        <v>1089</v>
      </c>
      <c r="F370">
        <v>1</v>
      </c>
      <c r="G370">
        <v>2588.8698630137</v>
      </c>
    </row>
    <row r="371" spans="5:7">
      <c r="E371" t="s">
        <v>1092</v>
      </c>
      <c r="F371">
        <v>1</v>
      </c>
      <c r="G371">
        <v>2434.28938356164</v>
      </c>
    </row>
    <row r="372" spans="5:7">
      <c r="E372" t="s">
        <v>1094</v>
      </c>
      <c r="F372">
        <v>1</v>
      </c>
      <c r="G372">
        <v>332.320205479452</v>
      </c>
    </row>
    <row r="373" spans="5:7">
      <c r="E373" t="s">
        <v>1096</v>
      </c>
      <c r="F373">
        <v>1</v>
      </c>
      <c r="G373">
        <v>2357.02054794521</v>
      </c>
    </row>
    <row r="374" spans="5:7">
      <c r="E374" t="s">
        <v>1097</v>
      </c>
      <c r="F374">
        <v>-1</v>
      </c>
      <c r="G374">
        <v>-2588.8698630137</v>
      </c>
    </row>
    <row r="375" spans="5:7">
      <c r="E375" t="s">
        <v>1099</v>
      </c>
      <c r="F375">
        <v>1</v>
      </c>
      <c r="G375">
        <v>332.320205479452</v>
      </c>
    </row>
    <row r="376" spans="5:7">
      <c r="E376" t="s">
        <v>1100</v>
      </c>
      <c r="F376">
        <v>1</v>
      </c>
      <c r="G376">
        <v>2588.8698630137</v>
      </c>
    </row>
    <row r="377" spans="5:7">
      <c r="E377" t="s">
        <v>1102</v>
      </c>
      <c r="F377">
        <v>1</v>
      </c>
      <c r="G377">
        <v>2357.02054794521</v>
      </c>
    </row>
    <row r="378" spans="5:7">
      <c r="E378" t="s">
        <v>1104</v>
      </c>
      <c r="F378">
        <v>1</v>
      </c>
      <c r="G378">
        <v>1120.54794520548</v>
      </c>
    </row>
    <row r="379" spans="5:7">
      <c r="E379" t="s">
        <v>1107</v>
      </c>
      <c r="F379">
        <v>1</v>
      </c>
      <c r="G379">
        <v>2434.28938356164</v>
      </c>
    </row>
    <row r="380" spans="5:7">
      <c r="E380" t="s">
        <v>1110</v>
      </c>
      <c r="F380">
        <v>1</v>
      </c>
      <c r="G380">
        <v>2588.8698630137</v>
      </c>
    </row>
    <row r="381" spans="5:7">
      <c r="E381" t="s">
        <v>1112</v>
      </c>
      <c r="F381">
        <v>1</v>
      </c>
      <c r="G381">
        <v>564.169520547945</v>
      </c>
    </row>
    <row r="382" spans="5:7">
      <c r="E382" t="s">
        <v>1114</v>
      </c>
      <c r="F382">
        <v>1</v>
      </c>
      <c r="G382">
        <v>297.559931506849</v>
      </c>
    </row>
    <row r="383" spans="5:7">
      <c r="E383" t="s">
        <v>1117</v>
      </c>
      <c r="F383">
        <v>1</v>
      </c>
      <c r="G383">
        <v>896.489726027397</v>
      </c>
    </row>
    <row r="384" spans="5:7">
      <c r="E384" t="s">
        <v>1120</v>
      </c>
      <c r="F384">
        <v>1</v>
      </c>
      <c r="G384">
        <v>768.96404109589</v>
      </c>
    </row>
    <row r="385" spans="5:7">
      <c r="E385" t="s">
        <v>1122</v>
      </c>
      <c r="F385">
        <v>1</v>
      </c>
      <c r="G385">
        <v>1120.54794520548</v>
      </c>
    </row>
    <row r="386" spans="5:7">
      <c r="E386" t="s">
        <v>1125</v>
      </c>
      <c r="F386">
        <v>1</v>
      </c>
      <c r="G386">
        <v>175422.988013699</v>
      </c>
    </row>
    <row r="387" spans="5:7">
      <c r="E387" t="s">
        <v>1127</v>
      </c>
      <c r="F387">
        <v>1</v>
      </c>
      <c r="G387">
        <v>297.559931506849</v>
      </c>
    </row>
  </sheetData>
  <autoFilter xmlns:etc="http://www.wps.cn/officeDocument/2017/etCustomData" ref="A1:O387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CRM ANALYSIS</vt:lpstr>
      <vt:lpstr>Sales by scheme</vt:lpstr>
      <vt:lpstr>sales by month</vt:lpstr>
      <vt:lpstr>Raw data</vt:lpstr>
      <vt:lpstr>pivot</vt:lpstr>
      <vt:lpstr>Data pivot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Thanh Qui (Client Data Analysis Executive)</dc:creator>
  <cp:lastModifiedBy>PHAN THANH TRUC</cp:lastModifiedBy>
  <dcterms:created xsi:type="dcterms:W3CDTF">2021-12-16T04:22:00Z</dcterms:created>
  <dcterms:modified xsi:type="dcterms:W3CDTF">2026-03-04T16:00:56Z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48320604CF3249B3B17FBCA36953576A_12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